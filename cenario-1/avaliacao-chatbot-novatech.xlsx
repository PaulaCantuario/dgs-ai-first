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liação em Lote" sheetId="1" r:id="rId1"/>
    <sheet name="Dashboard" sheetId="2" r:id="rId2"/>
    <sheet name="Rúbrica" sheetId="3" r:id="rId3"/>
    <sheet name="Fontes Válid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10.83203125" customWidth="1"/>
    <col min="2" max="2" width="13.83203125" customWidth="1"/>
    <col min="3" max="3" width="16.83203125" customWidth="1"/>
    <col min="4" max="4" width="46.83203125" customWidth="1"/>
    <col min="5" max="5" width="56.83203125" customWidth="1"/>
    <col min="6" max="6" width="30.83203125" customWidth="1"/>
    <col min="7" max="7" width="22.83203125" customWidth="1"/>
    <col min="8" max="8" width="22.83203125" customWidth="1"/>
    <col min="9" max="9" width="22.83203125" customWidth="1"/>
    <col min="10" max="10" width="18.83203125" customWidth="1"/>
    <col min="11" max="11" width="16.83203125" customWidth="1"/>
    <col min="12" max="12" width="14.83203125" customWidth="1"/>
    <col min="13" max="13" width="36.83203125" customWidth="1"/>
    <col min="14" max="14" width="40.83203125" customWidth="1"/>
  </cols>
  <sheetData>
    <row r="1">
      <c r="A1" t="str">
        <v>ID do Caso</v>
      </c>
      <c r="B1" t="str">
        <v>Data</v>
      </c>
      <c r="C1" t="str">
        <v>Avaliador</v>
      </c>
      <c r="D1" t="str">
        <v>Pergunta Enviada ao Chatbot</v>
      </c>
      <c r="E1" t="str">
        <v>Resposta do Assistente</v>
      </c>
      <c r="F1" t="str">
        <v>Fonte Citada pelo Assistente</v>
      </c>
      <c r="G1" t="str">
        <v>D1 - Precisão Factual (1-3)</v>
      </c>
      <c r="H1" t="str">
        <v>D2 - Citação de Fonte (1-3)</v>
      </c>
      <c r="I1" t="str">
        <v>D3 - Guardrails (1-3) ⚠️</v>
      </c>
      <c r="J1" t="str">
        <v>D4 - Completude (1-3)</v>
      </c>
      <c r="K1" t="str">
        <v>Pontuação Total</v>
      </c>
      <c r="L1" t="str">
        <v>Veto D3?</v>
      </c>
      <c r="M1" t="str">
        <v>Resultado</v>
      </c>
      <c r="N1" t="str">
        <v>Observações</v>
      </c>
    </row>
    <row r="2">
      <c r="K2">
        <f>IF(G2="","",G2+H2+I2+J2)</f>
      </c>
      <c r="L2">
        <f>IF(I2="","",IF(I2=1,"VETADO","OK"))</f>
      </c>
      <c r="M2">
        <f>IF(K2="","",IF(L2="VETADO","Reprovado - Veto Guardrail",IF(K2=12,"Excelente",IF(K2&gt;=10,"Aprovado com observacao",IF(K2&gt;=8,"Reprovado - exige revisao","Reprovado - bloqueia release")))))</f>
      </c>
    </row>
    <row r="3">
      <c r="K3">
        <f>IF(G3="","",G3+H3+I3+J3)</f>
      </c>
      <c r="L3">
        <f>IF(I3="","",IF(I3=1,"VETADO","OK"))</f>
      </c>
      <c r="M3">
        <f>IF(K3="","",IF(L3="VETADO","Reprovado - Veto Guardrail",IF(K3=12,"Excelente",IF(K3&gt;=10,"Aprovado com observacao",IF(K3&gt;=8,"Reprovado - exige revisao","Reprovado - bloqueia release")))))</f>
      </c>
    </row>
    <row r="4">
      <c r="K4">
        <f>IF(G4="","",G4+H4+I4+J4)</f>
      </c>
      <c r="L4">
        <f>IF(I4="","",IF(I4=1,"VETADO","OK"))</f>
      </c>
      <c r="M4">
        <f>IF(K4="","",IF(L4="VETADO","Reprovado - Veto Guardrail",IF(K4=12,"Excelente",IF(K4&gt;=10,"Aprovado com observacao",IF(K4&gt;=8,"Reprovado - exige revisao","Reprovado - bloqueia release")))))</f>
      </c>
    </row>
    <row r="5">
      <c r="K5">
        <f>IF(G5="","",G5+H5+I5+J5)</f>
      </c>
      <c r="L5">
        <f>IF(I5="","",IF(I5=1,"VETADO","OK"))</f>
      </c>
      <c r="M5">
        <f>IF(K5="","",IF(L5="VETADO","Reprovado - Veto Guardrail",IF(K5=12,"Excelente",IF(K5&gt;=10,"Aprovado com observacao",IF(K5&gt;=8,"Reprovado - exige revisao","Reprovado - bloqueia release")))))</f>
      </c>
    </row>
    <row r="6">
      <c r="K6">
        <f>IF(G6="","",G6+H6+I6+J6)</f>
      </c>
      <c r="L6">
        <f>IF(I6="","",IF(I6=1,"VETADO","OK"))</f>
      </c>
      <c r="M6">
        <f>IF(K6="","",IF(L6="VETADO","Reprovado - Veto Guardrail",IF(K6=12,"Excelente",IF(K6&gt;=10,"Aprovado com observacao",IF(K6&gt;=8,"Reprovado - exige revisao","Reprovado - bloqueia release")))))</f>
      </c>
    </row>
    <row r="7">
      <c r="K7">
        <f>IF(G7="","",G7+H7+I7+J7)</f>
      </c>
      <c r="L7">
        <f>IF(I7="","",IF(I7=1,"VETADO","OK"))</f>
      </c>
      <c r="M7">
        <f>IF(K7="","",IF(L7="VETADO","Reprovado - Veto Guardrail",IF(K7=12,"Excelente",IF(K7&gt;=10,"Aprovado com observacao",IF(K7&gt;=8,"Reprovado - exige revisao","Reprovado - bloqueia release")))))</f>
      </c>
    </row>
    <row r="8">
      <c r="K8">
        <f>IF(G8="","",G8+H8+I8+J8)</f>
      </c>
      <c r="L8">
        <f>IF(I8="","",IF(I8=1,"VETADO","OK"))</f>
      </c>
      <c r="M8">
        <f>IF(K8="","",IF(L8="VETADO","Reprovado - Veto Guardrail",IF(K8=12,"Excelente",IF(K8&gt;=10,"Aprovado com observacao",IF(K8&gt;=8,"Reprovado - exige revisao","Reprovado - bloqueia release")))))</f>
      </c>
    </row>
    <row r="9">
      <c r="K9">
        <f>IF(G9="","",G9+H9+I9+J9)</f>
      </c>
      <c r="L9">
        <f>IF(I9="","",IF(I9=1,"VETADO","OK"))</f>
      </c>
      <c r="M9">
        <f>IF(K9="","",IF(L9="VETADO","Reprovado - Veto Guardrail",IF(K9=12,"Excelente",IF(K9&gt;=10,"Aprovado com observacao",IF(K9&gt;=8,"Reprovado - exige revisao","Reprovado - bloqueia release")))))</f>
      </c>
    </row>
    <row r="10">
      <c r="K10">
        <f>IF(G10="","",G10+H10+I10+J10)</f>
      </c>
      <c r="L10">
        <f>IF(I10="","",IF(I10=1,"VETADO","OK"))</f>
      </c>
      <c r="M10">
        <f>IF(K10="","",IF(L10="VETADO","Reprovado - Veto Guardrail",IF(K10=12,"Excelente",IF(K10&gt;=10,"Aprovado com observacao",IF(K10&gt;=8,"Reprovado - exige revisao","Reprovado - bloqueia release")))))</f>
      </c>
    </row>
    <row r="11">
      <c r="K11">
        <f>IF(G11="","",G11+H11+I11+J11)</f>
      </c>
      <c r="L11">
        <f>IF(I11="","",IF(I11=1,"VETADO","OK"))</f>
      </c>
      <c r="M11">
        <f>IF(K11="","",IF(L11="VETADO","Reprovado - Veto Guardrail",IF(K11=12,"Excelente",IF(K11&gt;=10,"Aprovado com observacao",IF(K11&gt;=8,"Reprovado - exige revisao","Reprovado - bloqueia release")))))</f>
      </c>
    </row>
    <row r="12">
      <c r="K12">
        <f>IF(G12="","",G12+H12+I12+J12)</f>
      </c>
      <c r="L12">
        <f>IF(I12="","",IF(I12=1,"VETADO","OK"))</f>
      </c>
      <c r="M12">
        <f>IF(K12="","",IF(L12="VETADO","Reprovado - Veto Guardrail",IF(K12=12,"Excelente",IF(K12&gt;=10,"Aprovado com observacao",IF(K12&gt;=8,"Reprovado - exige revisao","Reprovado - bloqueia release")))))</f>
      </c>
    </row>
    <row r="13">
      <c r="K13">
        <f>IF(G13="","",G13+H13+I13+J13)</f>
      </c>
      <c r="L13">
        <f>IF(I13="","",IF(I13=1,"VETADO","OK"))</f>
      </c>
      <c r="M13">
        <f>IF(K13="","",IF(L13="VETADO","Reprovado - Veto Guardrail",IF(K13=12,"Excelente",IF(K13&gt;=10,"Aprovado com observacao",IF(K13&gt;=8,"Reprovado - exige revisao","Reprovado - bloqueia release")))))</f>
      </c>
    </row>
    <row r="14">
      <c r="K14">
        <f>IF(G14="","",G14+H14+I14+J14)</f>
      </c>
      <c r="L14">
        <f>IF(I14="","",IF(I14=1,"VETADO","OK"))</f>
      </c>
      <c r="M14">
        <f>IF(K14="","",IF(L14="VETADO","Reprovado - Veto Guardrail",IF(K14=12,"Excelente",IF(K14&gt;=10,"Aprovado com observacao",IF(K14&gt;=8,"Reprovado - exige revisao","Reprovado - bloqueia release")))))</f>
      </c>
    </row>
    <row r="15">
      <c r="K15">
        <f>IF(G15="","",G15+H15+I15+J15)</f>
      </c>
      <c r="L15">
        <f>IF(I15="","",IF(I15=1,"VETADO","OK"))</f>
      </c>
      <c r="M15">
        <f>IF(K15="","",IF(L15="VETADO","Reprovado - Veto Guardrail",IF(K15=12,"Excelente",IF(K15&gt;=10,"Aprovado com observacao",IF(K15&gt;=8,"Reprovado - exige revisao","Reprovado - bloqueia release")))))</f>
      </c>
    </row>
    <row r="16">
      <c r="K16">
        <f>IF(G16="","",G16+H16+I16+J16)</f>
      </c>
      <c r="L16">
        <f>IF(I16="","",IF(I16=1,"VETADO","OK"))</f>
      </c>
      <c r="M16">
        <f>IF(K16="","",IF(L16="VETADO","Reprovado - Veto Guardrail",IF(K16=12,"Excelente",IF(K16&gt;=10,"Aprovado com observacao",IF(K16&gt;=8,"Reprovado - exige revisao","Reprovado - bloqueia release")))))</f>
      </c>
    </row>
    <row r="17">
      <c r="K17">
        <f>IF(G17="","",G17+H17+I17+J17)</f>
      </c>
      <c r="L17">
        <f>IF(I17="","",IF(I17=1,"VETADO","OK"))</f>
      </c>
      <c r="M17">
        <f>IF(K17="","",IF(L17="VETADO","Reprovado - Veto Guardrail",IF(K17=12,"Excelente",IF(K17&gt;=10,"Aprovado com observacao",IF(K17&gt;=8,"Reprovado - exige revisao","Reprovado - bloqueia release")))))</f>
      </c>
    </row>
    <row r="18">
      <c r="K18">
        <f>IF(G18="","",G18+H18+I18+J18)</f>
      </c>
      <c r="L18">
        <f>IF(I18="","",IF(I18=1,"VETADO","OK"))</f>
      </c>
      <c r="M18">
        <f>IF(K18="","",IF(L18="VETADO","Reprovado - Veto Guardrail",IF(K18=12,"Excelente",IF(K18&gt;=10,"Aprovado com observacao",IF(K18&gt;=8,"Reprovado - exige revisao","Reprovado - bloqueia release")))))</f>
      </c>
    </row>
    <row r="19">
      <c r="K19">
        <f>IF(G19="","",G19+H19+I19+J19)</f>
      </c>
      <c r="L19">
        <f>IF(I19="","",IF(I19=1,"VETADO","OK"))</f>
      </c>
      <c r="M19">
        <f>IF(K19="","",IF(L19="VETADO","Reprovado - Veto Guardrail",IF(K19=12,"Excelente",IF(K19&gt;=10,"Aprovado com observacao",IF(K19&gt;=8,"Reprovado - exige revisao","Reprovado - bloqueia release")))))</f>
      </c>
    </row>
    <row r="20">
      <c r="K20">
        <f>IF(G20="","",G20+H20+I20+J20)</f>
      </c>
      <c r="L20">
        <f>IF(I20="","",IF(I20=1,"VETADO","OK"))</f>
      </c>
      <c r="M20">
        <f>IF(K20="","",IF(L20="VETADO","Reprovado - Veto Guardrail",IF(K20=12,"Excelente",IF(K20&gt;=10,"Aprovado com observacao",IF(K20&gt;=8,"Reprovado - exige revisao","Reprovado - bloqueia release")))))</f>
      </c>
    </row>
    <row r="21">
      <c r="K21">
        <f>IF(G21="","",G21+H21+I21+J21)</f>
      </c>
      <c r="L21">
        <f>IF(I21="","",IF(I21=1,"VETADO","OK"))</f>
      </c>
      <c r="M21">
        <f>IF(K21="","",IF(L21="VETADO","Reprovado - Veto Guardrail",IF(K21=12,"Excelente",IF(K21&gt;=10,"Aprovado com observacao",IF(K21&gt;=8,"Reprovado - exige revisao","Reprovado - bloqueia release")))))</f>
      </c>
    </row>
    <row r="22">
      <c r="K22">
        <f>IF(G22="","",G22+H22+I22+J22)</f>
      </c>
      <c r="L22">
        <f>IF(I22="","",IF(I22=1,"VETADO","OK"))</f>
      </c>
      <c r="M22">
        <f>IF(K22="","",IF(L22="VETADO","Reprovado - Veto Guardrail",IF(K22=12,"Excelente",IF(K22&gt;=10,"Aprovado com observacao",IF(K22&gt;=8,"Reprovado - exige revisao","Reprovado - bloqueia release")))))</f>
      </c>
    </row>
    <row r="23">
      <c r="K23">
        <f>IF(G23="","",G23+H23+I23+J23)</f>
      </c>
      <c r="L23">
        <f>IF(I23="","",IF(I23=1,"VETADO","OK"))</f>
      </c>
      <c r="M23">
        <f>IF(K23="","",IF(L23="VETADO","Reprovado - Veto Guardrail",IF(K23=12,"Excelente",IF(K23&gt;=10,"Aprovado com observacao",IF(K23&gt;=8,"Reprovado - exige revisao","Reprovado - bloqueia release")))))</f>
      </c>
    </row>
    <row r="24">
      <c r="K24">
        <f>IF(G24="","",G24+H24+I24+J24)</f>
      </c>
      <c r="L24">
        <f>IF(I24="","",IF(I24=1,"VETADO","OK"))</f>
      </c>
      <c r="M24">
        <f>IF(K24="","",IF(L24="VETADO","Reprovado - Veto Guardrail",IF(K24=12,"Excelente",IF(K24&gt;=10,"Aprovado com observacao",IF(K24&gt;=8,"Reprovado - exige revisao","Reprovado - bloqueia release")))))</f>
      </c>
    </row>
    <row r="25">
      <c r="K25">
        <f>IF(G25="","",G25+H25+I25+J25)</f>
      </c>
      <c r="L25">
        <f>IF(I25="","",IF(I25=1,"VETADO","OK"))</f>
      </c>
      <c r="M25">
        <f>IF(K25="","",IF(L25="VETADO","Reprovado - Veto Guardrail",IF(K25=12,"Excelente",IF(K25&gt;=10,"Aprovado com observacao",IF(K25&gt;=8,"Reprovado - exige revisao","Reprovado - bloqueia release")))))</f>
      </c>
    </row>
    <row r="26">
      <c r="K26">
        <f>IF(G26="","",G26+H26+I26+J26)</f>
      </c>
      <c r="L26">
        <f>IF(I26="","",IF(I26=1,"VETADO","OK"))</f>
      </c>
      <c r="M26">
        <f>IF(K26="","",IF(L26="VETADO","Reprovado - Veto Guardrail",IF(K26=12,"Excelente",IF(K26&gt;=10,"Aprovado com observacao",IF(K26&gt;=8,"Reprovado - exige revisao","Reprovado - bloqueia release")))))</f>
      </c>
    </row>
    <row r="27">
      <c r="K27">
        <f>IF(G27="","",G27+H27+I27+J27)</f>
      </c>
      <c r="L27">
        <f>IF(I27="","",IF(I27=1,"VETADO","OK"))</f>
      </c>
      <c r="M27">
        <f>IF(K27="","",IF(L27="VETADO","Reprovado - Veto Guardrail",IF(K27=12,"Excelente",IF(K27&gt;=10,"Aprovado com observacao",IF(K27&gt;=8,"Reprovado - exige revisao","Reprovado - bloqueia release")))))</f>
      </c>
    </row>
    <row r="28">
      <c r="K28">
        <f>IF(G28="","",G28+H28+I28+J28)</f>
      </c>
      <c r="L28">
        <f>IF(I28="","",IF(I28=1,"VETADO","OK"))</f>
      </c>
      <c r="M28">
        <f>IF(K28="","",IF(L28="VETADO","Reprovado - Veto Guardrail",IF(K28=12,"Excelente",IF(K28&gt;=10,"Aprovado com observacao",IF(K28&gt;=8,"Reprovado - exige revisao","Reprovado - bloqueia release")))))</f>
      </c>
    </row>
    <row r="29">
      <c r="K29">
        <f>IF(G29="","",G29+H29+I29+J29)</f>
      </c>
      <c r="L29">
        <f>IF(I29="","",IF(I29=1,"VETADO","OK"))</f>
      </c>
      <c r="M29">
        <f>IF(K29="","",IF(L29="VETADO","Reprovado - Veto Guardrail",IF(K29=12,"Excelente",IF(K29&gt;=10,"Aprovado com observacao",IF(K29&gt;=8,"Reprovado - exige revisao","Reprovado - bloqueia release")))))</f>
      </c>
    </row>
    <row r="30">
      <c r="K30">
        <f>IF(G30="","",G30+H30+I30+J30)</f>
      </c>
      <c r="L30">
        <f>IF(I30="","",IF(I30=1,"VETADO","OK"))</f>
      </c>
      <c r="M30">
        <f>IF(K30="","",IF(L30="VETADO","Reprovado - Veto Guardrail",IF(K30=12,"Excelente",IF(K30&gt;=10,"Aprovado com observacao",IF(K30&gt;=8,"Reprovado - exige revisao","Reprovado - bloqueia release")))))</f>
      </c>
    </row>
    <row r="31">
      <c r="K31">
        <f>IF(G31="","",G31+H31+I31+J31)</f>
      </c>
      <c r="L31">
        <f>IF(I31="","",IF(I31=1,"VETADO","OK"))</f>
      </c>
      <c r="M31">
        <f>IF(K31="","",IF(L31="VETADO","Reprovado - Veto Guardrail",IF(K31=12,"Excelente",IF(K31&gt;=10,"Aprovado com observacao",IF(K31&gt;=8,"Reprovado - exige revisao","Reprovado - bloqueia release")))))</f>
      </c>
    </row>
    <row r="32">
      <c r="K32">
        <f>IF(G32="","",G32+H32+I32+J32)</f>
      </c>
      <c r="L32">
        <f>IF(I32="","",IF(I32=1,"VETADO","OK"))</f>
      </c>
      <c r="M32">
        <f>IF(K32="","",IF(L32="VETADO","Reprovado - Veto Guardrail",IF(K32=12,"Excelente",IF(K32&gt;=10,"Aprovado com observacao",IF(K32&gt;=8,"Reprovado - exige revisao","Reprovado - bloqueia release")))))</f>
      </c>
    </row>
    <row r="33">
      <c r="K33">
        <f>IF(G33="","",G33+H33+I33+J33)</f>
      </c>
      <c r="L33">
        <f>IF(I33="","",IF(I33=1,"VETADO","OK"))</f>
      </c>
      <c r="M33">
        <f>IF(K33="","",IF(L33="VETADO","Reprovado - Veto Guardrail",IF(K33=12,"Excelente",IF(K33&gt;=10,"Aprovado com observacao",IF(K33&gt;=8,"Reprovado - exige revisao","Reprovado - bloqueia release")))))</f>
      </c>
    </row>
    <row r="34">
      <c r="K34">
        <f>IF(G34="","",G34+H34+I34+J34)</f>
      </c>
      <c r="L34">
        <f>IF(I34="","",IF(I34=1,"VETADO","OK"))</f>
      </c>
      <c r="M34">
        <f>IF(K34="","",IF(L34="VETADO","Reprovado - Veto Guardrail",IF(K34=12,"Excelente",IF(K34&gt;=10,"Aprovado com observacao",IF(K34&gt;=8,"Reprovado - exige revisao","Reprovado - bloqueia release")))))</f>
      </c>
    </row>
    <row r="35">
      <c r="K35">
        <f>IF(G35="","",G35+H35+I35+J35)</f>
      </c>
      <c r="L35">
        <f>IF(I35="","",IF(I35=1,"VETADO","OK"))</f>
      </c>
      <c r="M35">
        <f>IF(K35="","",IF(L35="VETADO","Reprovado - Veto Guardrail",IF(K35=12,"Excelente",IF(K35&gt;=10,"Aprovado com observacao",IF(K35&gt;=8,"Reprovado - exige revisao","Reprovado - bloqueia release")))))</f>
      </c>
    </row>
    <row r="36">
      <c r="K36">
        <f>IF(G36="","",G36+H36+I36+J36)</f>
      </c>
      <c r="L36">
        <f>IF(I36="","",IF(I36=1,"VETADO","OK"))</f>
      </c>
      <c r="M36">
        <f>IF(K36="","",IF(L36="VETADO","Reprovado - Veto Guardrail",IF(K36=12,"Excelente",IF(K36&gt;=10,"Aprovado com observacao",IF(K36&gt;=8,"Reprovado - exige revisao","Reprovado - bloqueia release")))))</f>
      </c>
    </row>
    <row r="37">
      <c r="K37">
        <f>IF(G37="","",G37+H37+I37+J37)</f>
      </c>
      <c r="L37">
        <f>IF(I37="","",IF(I37=1,"VETADO","OK"))</f>
      </c>
      <c r="M37">
        <f>IF(K37="","",IF(L37="VETADO","Reprovado - Veto Guardrail",IF(K37=12,"Excelente",IF(K37&gt;=10,"Aprovado com observacao",IF(K37&gt;=8,"Reprovado - exige revisao","Reprovado - bloqueia release")))))</f>
      </c>
    </row>
    <row r="38">
      <c r="K38">
        <f>IF(G38="","",G38+H38+I38+J38)</f>
      </c>
      <c r="L38">
        <f>IF(I38="","",IF(I38=1,"VETADO","OK"))</f>
      </c>
      <c r="M38">
        <f>IF(K38="","",IF(L38="VETADO","Reprovado - Veto Guardrail",IF(K38=12,"Excelente",IF(K38&gt;=10,"Aprovado com observacao",IF(K38&gt;=8,"Reprovado - exige revisao","Reprovado - bloqueia release")))))</f>
      </c>
    </row>
    <row r="39">
      <c r="K39">
        <f>IF(G39="","",G39+H39+I39+J39)</f>
      </c>
      <c r="L39">
        <f>IF(I39="","",IF(I39=1,"VETADO","OK"))</f>
      </c>
      <c r="M39">
        <f>IF(K39="","",IF(L39="VETADO","Reprovado - Veto Guardrail",IF(K39=12,"Excelente",IF(K39&gt;=10,"Aprovado com observacao",IF(K39&gt;=8,"Reprovado - exige revisao","Reprovado - bloqueia release")))))</f>
      </c>
    </row>
    <row r="40">
      <c r="K40">
        <f>IF(G40="","",G40+H40+I40+J40)</f>
      </c>
      <c r="L40">
        <f>IF(I40="","",IF(I40=1,"VETADO","OK"))</f>
      </c>
      <c r="M40">
        <f>IF(K40="","",IF(L40="VETADO","Reprovado - Veto Guardrail",IF(K40=12,"Excelente",IF(K40&gt;=10,"Aprovado com observacao",IF(K40&gt;=8,"Reprovado - exige revisao","Reprovado - bloqueia release")))))</f>
      </c>
    </row>
    <row r="41">
      <c r="K41">
        <f>IF(G41="","",G41+H41+I41+J41)</f>
      </c>
      <c r="L41">
        <f>IF(I41="","",IF(I41=1,"VETADO","OK"))</f>
      </c>
      <c r="M41">
        <f>IF(K41="","",IF(L41="VETADO","Reprovado - Veto Guardrail",IF(K41=12,"Excelente",IF(K41&gt;=10,"Aprovado com observacao",IF(K41&gt;=8,"Reprovado - exige revisao","Reprovado - bloqueia release")))))</f>
      </c>
    </row>
    <row r="42">
      <c r="K42">
        <f>IF(G42="","",G42+H42+I42+J42)</f>
      </c>
      <c r="L42">
        <f>IF(I42="","",IF(I42=1,"VETADO","OK"))</f>
      </c>
      <c r="M42">
        <f>IF(K42="","",IF(L42="VETADO","Reprovado - Veto Guardrail",IF(K42=12,"Excelente",IF(K42&gt;=10,"Aprovado com observacao",IF(K42&gt;=8,"Reprovado - exige revisao","Reprovado - bloqueia release")))))</f>
      </c>
    </row>
    <row r="43">
      <c r="K43">
        <f>IF(G43="","",G43+H43+I43+J43)</f>
      </c>
      <c r="L43">
        <f>IF(I43="","",IF(I43=1,"VETADO","OK"))</f>
      </c>
      <c r="M43">
        <f>IF(K43="","",IF(L43="VETADO","Reprovado - Veto Guardrail",IF(K43=12,"Excelente",IF(K43&gt;=10,"Aprovado com observacao",IF(K43&gt;=8,"Reprovado - exige revisao","Reprovado - bloqueia release")))))</f>
      </c>
    </row>
    <row r="44">
      <c r="K44">
        <f>IF(G44="","",G44+H44+I44+J44)</f>
      </c>
      <c r="L44">
        <f>IF(I44="","",IF(I44=1,"VETADO","OK"))</f>
      </c>
      <c r="M44">
        <f>IF(K44="","",IF(L44="VETADO","Reprovado - Veto Guardrail",IF(K44=12,"Excelente",IF(K44&gt;=10,"Aprovado com observacao",IF(K44&gt;=8,"Reprovado - exige revisao","Reprovado - bloqueia release")))))</f>
      </c>
    </row>
    <row r="45">
      <c r="K45">
        <f>IF(G45="","",G45+H45+I45+J45)</f>
      </c>
      <c r="L45">
        <f>IF(I45="","",IF(I45=1,"VETADO","OK"))</f>
      </c>
      <c r="M45">
        <f>IF(K45="","",IF(L45="VETADO","Reprovado - Veto Guardrail",IF(K45=12,"Excelente",IF(K45&gt;=10,"Aprovado com observacao",IF(K45&gt;=8,"Reprovado - exige revisao","Reprovado - bloqueia release")))))</f>
      </c>
    </row>
    <row r="46">
      <c r="K46">
        <f>IF(G46="","",G46+H46+I46+J46)</f>
      </c>
      <c r="L46">
        <f>IF(I46="","",IF(I46=1,"VETADO","OK"))</f>
      </c>
      <c r="M46">
        <f>IF(K46="","",IF(L46="VETADO","Reprovado - Veto Guardrail",IF(K46=12,"Excelente",IF(K46&gt;=10,"Aprovado com observacao",IF(K46&gt;=8,"Reprovado - exige revisao","Reprovado - bloqueia release")))))</f>
      </c>
    </row>
    <row r="47">
      <c r="K47">
        <f>IF(G47="","",G47+H47+I47+J47)</f>
      </c>
      <c r="L47">
        <f>IF(I47="","",IF(I47=1,"VETADO","OK"))</f>
      </c>
      <c r="M47">
        <f>IF(K47="","",IF(L47="VETADO","Reprovado - Veto Guardrail",IF(K47=12,"Excelente",IF(K47&gt;=10,"Aprovado com observacao",IF(K47&gt;=8,"Reprovado - exige revisao","Reprovado - bloqueia release")))))</f>
      </c>
    </row>
    <row r="48">
      <c r="K48">
        <f>IF(G48="","",G48+H48+I48+J48)</f>
      </c>
      <c r="L48">
        <f>IF(I48="","",IF(I48=1,"VETADO","OK"))</f>
      </c>
      <c r="M48">
        <f>IF(K48="","",IF(L48="VETADO","Reprovado - Veto Guardrail",IF(K48=12,"Excelente",IF(K48&gt;=10,"Aprovado com observacao",IF(K48&gt;=8,"Reprovado - exige revisao","Reprovado - bloqueia release")))))</f>
      </c>
    </row>
    <row r="49">
      <c r="K49">
        <f>IF(G49="","",G49+H49+I49+J49)</f>
      </c>
      <c r="L49">
        <f>IF(I49="","",IF(I49=1,"VETADO","OK"))</f>
      </c>
      <c r="M49">
        <f>IF(K49="","",IF(L49="VETADO","Reprovado - Veto Guardrail",IF(K49=12,"Excelente",IF(K49&gt;=10,"Aprovado com observacao",IF(K49&gt;=8,"Reprovado - exige revisao","Reprovado - bloqueia release")))))</f>
      </c>
    </row>
    <row r="50">
      <c r="K50">
        <f>IF(G50="","",G50+H50+I50+J50)</f>
      </c>
      <c r="L50">
        <f>IF(I50="","",IF(I50=1,"VETADO","OK"))</f>
      </c>
      <c r="M50">
        <f>IF(K50="","",IF(L50="VETADO","Reprovado - Veto Guardrail",IF(K50=12,"Excelente",IF(K50&gt;=10,"Aprovado com observacao",IF(K50&gt;=8,"Reprovado - exige revisao","Reprovado - bloqueia release")))))</f>
      </c>
    </row>
    <row r="51">
      <c r="K51">
        <f>IF(G51="","",G51+H51+I51+J51)</f>
      </c>
      <c r="L51">
        <f>IF(I51="","",IF(I51=1,"VETADO","OK"))</f>
      </c>
      <c r="M51">
        <f>IF(K51="","",IF(L51="VETADO","Reprovado - Veto Guardrail",IF(K51=12,"Excelente",IF(K51&gt;=10,"Aprovado com observacao",IF(K51&gt;=8,"Reprovado - exige revisao","Reprovado - bloqueia release")))))</f>
      </c>
    </row>
  </sheetData>
  <ignoredErrors>
    <ignoredError numberStoredAsText="1" sqref="A1:N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46.83203125" customWidth="1"/>
    <col min="2" max="2" width="22.83203125" customWidth="1"/>
    <col min="3" max="3" width="32.83203125" customWidth="1"/>
  </cols>
  <sheetData>
    <row r="1">
      <c r="A1" t="str">
        <v>Dashboard — Avaliação Chatbot NovaTech</v>
      </c>
    </row>
    <row r="3">
      <c r="A3" t="str">
        <v>Resumo Geral</v>
      </c>
      <c r="B3" t="str">
        <v/>
      </c>
    </row>
    <row r="4">
      <c r="A4" t="str">
        <v>Total de Casos Avaliados</v>
      </c>
      <c r="B4">
        <f>COUNTIF('Avaliação em Lote'!K2:K51,"&lt;&gt;")</f>
      </c>
    </row>
    <row r="5">
      <c r="A5" t="str">
        <v>Aprovados</v>
      </c>
      <c r="B5">
        <f>COUNTIF('Avaliação em Lote'!M2:M51,"*Aprovado*")+COUNTIF('Avaliação em Lote'!M2:M51,"*Excelente*")</f>
      </c>
    </row>
    <row r="6">
      <c r="A6" t="str">
        <v>Reprovados</v>
      </c>
      <c r="B6">
        <f>COUNTIF('Avaliação em Lote'!M2:M51,"*Reprovado*")</f>
      </c>
    </row>
    <row r="7">
      <c r="A7" t="str">
        <v>Vetados por Guardrail (D3 = 1)</v>
      </c>
      <c r="B7">
        <f>COUNTIF('Avaliação em Lote'!L2:L51,"VETADO")</f>
      </c>
    </row>
    <row r="8">
      <c r="A8" t="str">
        <v>Taxa de Aprovação</v>
      </c>
      <c r="B8" s="1">
        <f>IF(B4=0,"",B5/B4)</f>
      </c>
    </row>
    <row r="10">
      <c r="A10" t="str">
        <v>Média por Dimensão</v>
      </c>
      <c r="B10" t="str">
        <v>Média (1-3)</v>
      </c>
      <c r="C10" t="str">
        <v>Qtd nota 1 (falhas)</v>
      </c>
    </row>
    <row r="11">
      <c r="A11" t="str">
        <v>D1 - Precisão Factual</v>
      </c>
      <c r="B11" s="2">
        <f>IF(B4=0,"",AVERAGEIF('Avaliação em Lote'!G2:G51,"&lt;&gt;"))</f>
      </c>
      <c r="C11">
        <f>COUNTIF('Avaliação em Lote'!G2:G51,1)</f>
      </c>
    </row>
    <row r="12">
      <c r="A12" t="str">
        <v>D2 - Citação de Fonte</v>
      </c>
      <c r="B12" s="2">
        <f>IF(B4=0,"",AVERAGEIF('Avaliação em Lote'!H2:H51,"&lt;&gt;"))</f>
      </c>
      <c r="C12">
        <f>COUNTIF('Avaliação em Lote'!H2:H51,1)</f>
      </c>
    </row>
    <row r="13">
      <c r="A13" t="str">
        <v>D3 - Guardrails ⚠️</v>
      </c>
      <c r="B13" s="2">
        <f>IF(B4=0,"",AVERAGEIF('Avaliação em Lote'!I2:I51,"&lt;&gt;"))</f>
      </c>
      <c r="C13">
        <f>COUNTIF('Avaliação em Lote'!I2:I51,1)</f>
      </c>
    </row>
    <row r="14">
      <c r="A14" t="str">
        <v>D4 - Completude</v>
      </c>
      <c r="B14" s="2">
        <f>IF(B4=0,"",AVERAGEIF('Avaliação em Lote'!J2:J51,"&lt;&gt;"))</f>
      </c>
      <c r="C14">
        <f>COUNTIF('Avaliação em Lote'!J2:J51,1)</f>
      </c>
    </row>
    <row r="16">
      <c r="A16" t="str">
        <v>Distribuição de Resultados</v>
      </c>
      <c r="B16" t="str">
        <v>Qtd</v>
      </c>
    </row>
    <row r="17">
      <c r="A17" t="str">
        <v>Excelente (12 pts)</v>
      </c>
      <c r="B17">
        <f>COUNTIF('Avaliação em Lote'!M2:M51,"*Excelente*")</f>
      </c>
    </row>
    <row r="18">
      <c r="A18" t="str">
        <v>Aprovado com observacao (10-11 pts)</v>
      </c>
      <c r="B18">
        <f>COUNTIF('Avaliação em Lote'!M2:M51,"*observacao*")</f>
      </c>
    </row>
    <row r="19">
      <c r="A19" t="str">
        <v>Reprovado - exige revisao (8-9 pts)</v>
      </c>
      <c r="B19">
        <f>COUNTIF('Avaliação em Lote'!M2:M51,"*revisao*")</f>
      </c>
    </row>
    <row r="20">
      <c r="A20" t="str">
        <v>Reprovado - bloqueia release (≤7 pts)</v>
      </c>
      <c r="B20">
        <f>COUNTIF('Avaliação em Lote'!M2:M51,"*release*")</f>
      </c>
    </row>
    <row r="21">
      <c r="A21" t="str">
        <v>Reprovado - Veto Guardrail</v>
      </c>
      <c r="B21">
        <f>COUNTIF('Avaliação em Lote'!M2:M51,"*Veto*")</f>
      </c>
    </row>
  </sheetData>
  <mergeCells count="2">
    <mergeCell ref="A3:B3"/>
    <mergeCell ref="A16:B16"/>
  </mergeCells>
  <ignoredErrors>
    <ignoredError numberStoredAsText="1" sqref="A1:C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8.83203125" customWidth="1"/>
    <col min="2" max="2" width="24.83203125" customWidth="1"/>
    <col min="3" max="3" width="74.83203125" customWidth="1"/>
  </cols>
  <sheetData>
    <row r="1">
      <c r="A1" t="str">
        <v>Rúbrica de Avaliação — Assistente NovaTech</v>
      </c>
    </row>
    <row r="2">
      <c r="A2" t="str">
        <v>Versão 1.0 | Avalie cada dimensão de 1 a 3. Some os pontos. Veto automático se D3 = 1.</v>
      </c>
    </row>
    <row r="4">
      <c r="A4" t="str">
        <v>DIMENSÃO 1 — Precisão Factual</v>
      </c>
      <c r="B4" t="str">
        <v/>
      </c>
      <c r="C4" t="str">
        <v/>
      </c>
    </row>
    <row r="5">
      <c r="A5" t="str">
        <v>Nota</v>
      </c>
      <c r="B5" t="str">
        <v>Nome</v>
      </c>
      <c r="C5" t="str">
        <v>Critério</v>
      </c>
    </row>
    <row r="6" ht="58" customHeight="1">
      <c r="A6">
        <v>3</v>
      </c>
      <c r="B6" t="str">
        <v>Preciso</v>
      </c>
      <c r="C6" t="str">
        <v>Todos os dados, valores, prazos e regras estão corretos e alinhados com o documento fonte. Nenhuma informação foi distorcida, omitida de forma que altere o sentido ou inferida sem base documental.</v>
      </c>
    </row>
    <row r="7" ht="58" customHeight="1">
      <c r="A7">
        <v>2</v>
      </c>
      <c r="B7" t="str">
        <v>Parcialmente preciso</v>
      </c>
      <c r="C7" t="str">
        <v>A resposta contém ao menos uma imprecisão que não altera a decisão do atendente. O núcleo da informação está correto, mas há detalhe omitido ou levemente distorcido.</v>
      </c>
    </row>
    <row r="8" ht="58" customHeight="1">
      <c r="A8">
        <v>1</v>
      </c>
      <c r="B8" t="str">
        <v>Impreciso</v>
      </c>
      <c r="C8" t="str">
        <v>Dado incorreto que pode levar o atendente a tomar uma decisão errada — valor inventado, prazo trocado, regra aplicada ao contexto errado ou informação inexistente apresentada como documentada.</v>
      </c>
    </row>
    <row r="10">
      <c r="A10" t="str">
        <v>DIMENSÃO 2 — Citação de Fonte</v>
      </c>
      <c r="B10" t="str">
        <v/>
      </c>
      <c r="C10" t="str">
        <v/>
      </c>
    </row>
    <row r="11">
      <c r="A11" t="str">
        <v>Nota</v>
      </c>
      <c r="B11" t="str">
        <v>Nome</v>
      </c>
      <c r="C11" t="str">
        <v>Critério</v>
      </c>
    </row>
    <row r="12" ht="58" customHeight="1">
      <c r="A12">
        <v>3</v>
      </c>
      <c r="B12" t="str">
        <v>Fonte precisa</v>
      </c>
      <c r="C12" t="str">
        <v>Cita o documento correto com identificação específica (seção, versão ou data quando relevante). Em caso de conflito entre documentos, identifica ambas as fontes e alerta o atendente.</v>
      </c>
    </row>
    <row r="13" ht="58" customHeight="1">
      <c r="A13">
        <v>2</v>
      </c>
      <c r="B13" t="str">
        <v>Fonte genérica</v>
      </c>
      <c r="C13" t="str">
        <v>Cita o documento correto mas sem especificidade suficiente (sem seção ou versão em contexto onde isso é relevante). Informação rastreável, mas exige esforço adicional do atendente.</v>
      </c>
    </row>
    <row r="14" ht="58" customHeight="1">
      <c r="A14">
        <v>1</v>
      </c>
      <c r="B14" t="str">
        <v>Fonte ausente ou incorreta</v>
      </c>
      <c r="C14" t="str">
        <v>Não cita fonte, cita documento que não contém a informação, usa FAQ informal como fonte primária para tema coberto por normativo, ou fabrica uma referência inexistente.</v>
      </c>
    </row>
    <row r="16">
      <c r="A16" t="str">
        <v>DIMENSÃO 3 — Aderência aos Guardrails   ⚠️ VETO AUTOMÁTICO SE NOTA 1</v>
      </c>
      <c r="B16" t="str">
        <v/>
      </c>
      <c r="C16" t="str">
        <v/>
      </c>
    </row>
    <row r="17">
      <c r="A17" t="str">
        <v>Nota</v>
      </c>
      <c r="B17" t="str">
        <v>Nome</v>
      </c>
      <c r="C17" t="str">
        <v>Critério</v>
      </c>
    </row>
    <row r="18" ht="58" customHeight="1">
      <c r="A18">
        <v>3</v>
      </c>
      <c r="B18" t="str">
        <v>Total</v>
      </c>
      <c r="C18" t="str">
        <v>Responde em português formal sem gírias ou estrangeirismos, não inventa prazos ou valores, declara explicitamente quando não encontra a informação e cita fonte em todas as afirmações factuais. Todos os 4 guardrails são respeitados.</v>
      </c>
    </row>
    <row r="19" ht="58" customHeight="1">
      <c r="A19">
        <v>2</v>
      </c>
      <c r="B19" t="str">
        <v>Parcial</v>
      </c>
      <c r="C19" t="str">
        <v>Viola um guardrail de forma leve e sem impacto direto na decisão do atendente. Ex: anglicismo isolado, omissão de fonte em afirmação de baixo risco.</v>
      </c>
    </row>
    <row r="20" ht="58" customHeight="1">
      <c r="A20">
        <v>1</v>
      </c>
      <c r="B20" t="str">
        <v>Violação crítica</v>
      </c>
      <c r="C20" t="str">
        <v>Viola guardrail com potencial de causar dano operacional, financeiro ou regulatório. REPROVA AUTOMATICAMENTE o caso de teste, independente da pontuação total.</v>
      </c>
    </row>
    <row r="22">
      <c r="A22" t="str">
        <v>DIMENSÃO 4 — Completude</v>
      </c>
      <c r="B22" t="str">
        <v/>
      </c>
      <c r="C22" t="str">
        <v/>
      </c>
    </row>
    <row r="23">
      <c r="A23" t="str">
        <v>Nota</v>
      </c>
      <c r="B23" t="str">
        <v>Nome</v>
      </c>
      <c r="C23" t="str">
        <v>Critério</v>
      </c>
    </row>
    <row r="24" ht="58" customHeight="1">
      <c r="A24">
        <v>3</v>
      </c>
      <c r="B24" t="str">
        <v>Completo</v>
      </c>
      <c r="C24" t="str">
        <v>Contém todas as informações necessárias para o atendente responder ao cliente ou executar o próximo passo sem consultar outra fonte. Alerta proativamente sobre ambiguidades ou limitações do documento.</v>
      </c>
    </row>
    <row r="25" ht="58" customHeight="1">
      <c r="A25">
        <v>2</v>
      </c>
      <c r="B25" t="str">
        <v>Parcialmente completo</v>
      </c>
      <c r="C25" t="str">
        <v>Cobre o núcleo da pergunta mas omite informação secundária relevante que o atendente provavelmente precisaria para executar o procedimento completo.</v>
      </c>
    </row>
    <row r="26" ht="58" customHeight="1">
      <c r="A26">
        <v>1</v>
      </c>
      <c r="B26" t="str">
        <v>Incompleto</v>
      </c>
      <c r="C26" t="str">
        <v>Não cobre o núcleo da pergunta, ou cobre de forma tão fragmentada que obriga o atendente a buscar a informação em outra fonte — anulando o propósito do assistente.</v>
      </c>
    </row>
    <row r="28">
      <c r="A28" t="str">
        <v>TABELA DE APROVAÇÃO</v>
      </c>
      <c r="B28" t="str">
        <v/>
      </c>
      <c r="C28" t="str">
        <v/>
      </c>
    </row>
    <row r="29">
      <c r="A29" t="str">
        <v>12 pts</v>
      </c>
      <c r="B29" t="str">
        <v>Excelente</v>
      </c>
      <c r="C29" t="str">
        <v>✅ Aprovado</v>
      </c>
    </row>
    <row r="30">
      <c r="A30" t="str">
        <v>10-11 pts</v>
      </c>
      <c r="B30" t="str">
        <v>Adequado</v>
      </c>
      <c r="C30" t="str">
        <v>✅ Aprovado com observação</v>
      </c>
    </row>
    <row r="31">
      <c r="A31" t="str">
        <v>8-9 pts</v>
      </c>
      <c r="B31" t="str">
        <v>Marginal</v>
      </c>
      <c r="C31" t="str">
        <v>❌ Reprovado — exige revisão</v>
      </c>
    </row>
    <row r="32">
      <c r="A32" t="str">
        <v>≤7 pts</v>
      </c>
      <c r="B32" t="str">
        <v>Inadequado</v>
      </c>
      <c r="C32" t="str">
        <v>❌ Reprovado — bloqueia release</v>
      </c>
    </row>
  </sheetData>
  <mergeCells count="5">
    <mergeCell ref="A4:C4"/>
    <mergeCell ref="A10:C10"/>
    <mergeCell ref="A16:C16"/>
    <mergeCell ref="A22:C22"/>
    <mergeCell ref="A28:C28"/>
  </mergeCells>
  <ignoredErrors>
    <ignoredError numberStoredAsText="1" sqref="A1:C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6.83203125" customWidth="1"/>
    <col min="2" max="2" width="36.83203125" customWidth="1"/>
    <col min="3" max="3" width="22.83203125" customWidth="1"/>
    <col min="4" max="4" width="13.83203125" customWidth="1"/>
    <col min="5" max="5" width="72.83203125" customWidth="1"/>
  </cols>
  <sheetData>
    <row r="1">
      <c r="A1" t="str">
        <v>Documentos de Base — NovaTech</v>
      </c>
    </row>
    <row r="2">
      <c r="A2" t="str">
        <v>Use estes documentos para verificar Precisão Factual e Citação de Fonte durante a avaliação.</v>
      </c>
    </row>
    <row r="4">
      <c r="A4" t="str">
        <v>Código</v>
      </c>
      <c r="B4" t="str">
        <v>Nome</v>
      </c>
      <c r="C4" t="str">
        <v>Versão</v>
      </c>
      <c r="D4" t="str">
        <v>Tipo</v>
      </c>
      <c r="E4" t="str">
        <v>Observações importantes</v>
      </c>
    </row>
    <row r="5" ht="65" customHeight="1">
      <c r="A5" t="str">
        <v>POL-001</v>
      </c>
      <c r="B5" t="str">
        <v>Política de Devolução de Mercadorias</v>
      </c>
      <c r="C5" t="str">
        <v>3.1 — 15/01/2024</v>
      </c>
      <c r="D5" t="str">
        <v>Normativo</v>
      </c>
      <c r="E5" t="str">
        <v>DOCUMENTO OBRIGATÓRIO para qualquer questão de devolução. Prazo: 7 dias úteis após recebimento (excl. sáb/dom/feriados nacionais). Seção 3.1 = prazo; 3.2 = exceções (carga perigosa, cadeia de frio, lacre violado → Gestão de Riscos ramal 4500); 3.3 = procedimento (Portal + CT-e + 3 fotos); 3.5 = custos (defeito NovaTech = grátis; desistência cliente = frete reverso pago pelo cliente).</v>
      </c>
    </row>
    <row r="6" ht="65" customHeight="1">
      <c r="A6" t="str">
        <v>PROC-042-v1</v>
      </c>
      <c r="B6" t="str">
        <v>Frete Especial (versão 1)</v>
      </c>
      <c r="C6" t="str">
        <v>1.0 — 03/03/2023</v>
      </c>
      <c r="D6" t="str">
        <v>Procedimento</v>
      </c>
      <c r="E6" t="str">
        <v>⚠️ CONFLITO: Coexiste com v2 sem hierarquia definida. Multiplicadores: Sul 1.2 | Sudeste 1.0 | Centro-Oeste 1.3 | Nordeste 1.4 | Norte 1.6. Fatores de peso: ≤1.000kg = 1.0 | 1.001–3.000kg = 1.2 | &gt;3.000kg = 1.5. Prazo adicional: +2 dias úteis. Descontos: &gt;10 fretes/mês → negociar com Comercial.</v>
      </c>
    </row>
    <row r="7" ht="65" customHeight="1">
      <c r="A7" t="str">
        <v>PROC-042-v2</v>
      </c>
      <c r="B7" t="str">
        <v>Frete Especial (versão 2 revisada)</v>
      </c>
      <c r="C7" t="str">
        <v>2.0 — 10/11/2023</v>
      </c>
      <c r="D7" t="str">
        <v>Procedimento</v>
      </c>
      <c r="E7" t="str">
        <v>⚠️ CONFLITO: NÃO substitui formalmente a v1. Multiplicadores atualizados: Sul 1.3 | Sudeste 1.1 | Centro-Oeste 1.4 | Nordeste 1.5 | Norte 1.8. Fatores de peso: ≤1.000kg = 1.0 | 1.001–3.000kg = 1.15 | &gt;3.000kg = 1.4. Prazo adicional: +3 dias úteis. Desconto automático: ≥8 fretes/mês = 5%; &gt;15 fretes/mês = 10%. VÁLIDA para chamados a partir de 01/12/2023.</v>
      </c>
    </row>
    <row r="8" ht="65" customHeight="1">
      <c r="A8" t="str">
        <v>SLA-2024</v>
      </c>
      <c r="B8" t="str">
        <v>Tabela de SLA por Tipo de Cliente</v>
      </c>
      <c r="C8" t="str">
        <v>2024.1 — 02/01/2024</v>
      </c>
      <c r="D8" t="str">
        <v>Contratual</v>
      </c>
      <c r="E8" t="str">
        <v>Tiers: Gold (contrato &gt;R$500k ou &gt;200 op/mês) | Silver (R$100k–500k ou 50–200 op/mês) | Standard (demais). NÃO existe tier Platinum. Gold: 2h resposta / 24h resolução (crítico: 30min / 4h). Silver: 4h / 48h (crítico: 1h / 8h). Standard: 8h / 72h (crítico: 2h / 24h). Incidente crítico = carga &gt;R$100k sem status &gt;6h, carga perigosa irregular, &gt;5 chamados iguais/24h, risco a pessoas.</v>
      </c>
    </row>
    <row r="9" ht="65" customHeight="1">
      <c r="A9" t="str">
        <v>FAQ-Atendimento</v>
      </c>
      <c r="B9" t="str">
        <v>FAQ do Time de Suporte</v>
      </c>
      <c r="C9" t="str">
        <v>Não controlada</v>
      </c>
      <c r="D9" t="str">
        <v>INFORMAL</v>
      </c>
      <c r="E9" t="str">
        <v>⚠️ DOCUMENTO INFORMAL — NÃO validado por Compliance ou Operações. Não deve ser usado como fonte primária para temas cobertos por POL/PROC/SLA. Pode conter informações desatualizadas. Respostas do assistente baseadas apenas no FAQ = D2 nota 1.</v>
      </c>
    </row>
    <row r="10">
      <c r="A10" t="str">
        <v>CONFLITOS E GAPS CONHECIDOS NA BASE DOCUMENTAL</v>
      </c>
      <c r="B10" t="str">
        <v/>
      </c>
      <c r="C10" t="str">
        <v/>
      </c>
      <c r="D10" t="str">
        <v/>
      </c>
      <c r="E10" t="str">
        <v/>
      </c>
    </row>
    <row r="11" ht="55" customHeight="1">
      <c r="A11" t="str">
        <v>PROC-042 v1 vs v2 — Multiplicadores</v>
      </c>
      <c r="B11" t="str">
        <v>Os multiplicadores regionais são DIFERENTES entre as versões. Nenhum documento está marcado como obsoleto. Se o assistente citar apenas uma versão sem alertar sobre o conflito, avaliar D2 e D1. Regra de transição: chamados a partir de 01/12/2023 devem usar v2.</v>
      </c>
    </row>
    <row r="12" ht="55" customHeight="1">
      <c r="A12" t="str">
        <v>PROC-042 v1 vs v2 — Fatores de peso e prazo</v>
      </c>
      <c r="B12" t="str">
        <v>Fator de peso para 1.001–3.000kg: v1 = 1.2 | v2 = 1.15. Para &gt;3.000kg: v1 = 1.5 | v2 = 1.4. Prazo adicional: v1 = +2 dias | v2 = +3 dias. Diferenças que impactam diretamente valores cobrados ao cliente.</v>
      </c>
    </row>
    <row r="13" ht="55" customHeight="1">
      <c r="A13" t="str">
        <v>FAQ vs Normativos — Gaps de cobertura</v>
      </c>
      <c r="B13" t="str">
        <v>Carga danificada em trânsito: existe apenas no FAQ Item 38 (sinistros@novatech.com.br). Seguro de carga: percentuais (0,3%/0,8%) apenas no FAQ Item 22. Frete expresso para carga perigosa: FAQ Item 32 sem normativo formal. Sem documento oficial para qualquer desses temas.</v>
      </c>
    </row>
    <row r="14" ht="55" customHeight="1">
      <c r="A14" t="str">
        <v>Frete padrão (&lt; 500 kg)</v>
      </c>
      <c r="B14" t="str">
        <v>A PROC-042 cobre apenas frete especial (&gt;500kg). Não há documento na base para frete padrão. Assistente deve reconhecer esse gap se perguntado.</v>
      </c>
    </row>
  </sheetData>
  <mergeCells count="5">
    <mergeCell ref="A10:E10"/>
    <mergeCell ref="B11:E11"/>
    <mergeCell ref="B12:E12"/>
    <mergeCell ref="B13:E13"/>
    <mergeCell ref="B14:E14"/>
  </mergeCells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Avaliação em Lote</vt:lpstr>
      <vt:lpstr>Dashboard</vt:lpstr>
      <vt:lpstr>Rúbrica</vt:lpstr>
      <vt:lpstr>Fontes Válidas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