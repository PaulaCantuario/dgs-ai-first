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1. Ingestão" sheetId="2" state="visible" r:id="rId2"/>
    <sheet xmlns:r="http://schemas.openxmlformats.org/officeDocument/2006/relationships" name="2. Retrieval" sheetId="3" state="visible" r:id="rId3"/>
    <sheet xmlns:r="http://schemas.openxmlformats.org/officeDocument/2006/relationships" name="3. Geração" sheetId="4" state="visible" r:id="rId4"/>
    <sheet xmlns:r="http://schemas.openxmlformats.org/officeDocument/2006/relationships" name="4. Contexto" sheetId="5" state="visible" r:id="rId5"/>
    <sheet xmlns:r="http://schemas.openxmlformats.org/officeDocument/2006/relationships" name="5. E2E" sheetId="6" state="visible" r:id="rId6"/>
    <sheet xmlns:r="http://schemas.openxmlformats.org/officeDocument/2006/relationships" name="6. Regressão" sheetId="7" state="visible" r:id="rId7"/>
    <sheet xmlns:r="http://schemas.openxmlformats.org/officeDocument/2006/relationships" name="Glossário" sheetId="8" state="visible" r:id="rId8"/>
  </sheets>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Arial"/>
      <b val="1"/>
      <color rgb="001A202C"/>
      <sz val="16"/>
    </font>
    <font>
      <name val="Arial"/>
      <i val="1"/>
      <color rgb="00718096"/>
      <sz val="10"/>
    </font>
    <font>
      <name val="Arial"/>
      <b val="1"/>
      <color rgb="00FFFFFF"/>
      <sz val="10"/>
    </font>
    <font>
      <name val="Arial"/>
      <color rgb="001A202C"/>
      <sz val="10"/>
    </font>
    <font>
      <name val="Arial"/>
      <b val="1"/>
      <color rgb="007C3AED"/>
      <sz val="10"/>
    </font>
    <font>
      <name val="Arial"/>
      <b val="1"/>
      <color rgb="002563EB"/>
      <sz val="10"/>
    </font>
    <font>
      <name val="Arial"/>
      <b val="1"/>
      <color rgb="0016A34A"/>
      <sz val="10"/>
    </font>
    <font>
      <name val="Arial"/>
      <b val="1"/>
      <color rgb="00D97706"/>
      <sz val="10"/>
    </font>
    <font>
      <name val="Arial"/>
      <b val="1"/>
      <color rgb="00DC2626"/>
      <sz val="10"/>
    </font>
    <font>
      <name val="Arial"/>
      <b val="1"/>
      <color rgb="006B7280"/>
      <sz val="10"/>
    </font>
    <font>
      <name val="Arial"/>
      <i val="1"/>
      <color rgb="0092400E"/>
      <sz val="9"/>
    </font>
    <font>
      <name val="Arial"/>
      <b val="1"/>
      <color rgb="00DC2626"/>
      <sz val="11"/>
    </font>
    <font>
      <name val="Arial"/>
      <b val="1"/>
      <color rgb="001A202C"/>
      <sz val="10"/>
    </font>
    <font>
      <name val="Arial"/>
      <color rgb="004A5568"/>
      <sz val="9"/>
    </font>
    <font>
      <name val="Arial"/>
      <b val="1"/>
      <color rgb="001A202C"/>
      <sz val="11"/>
    </font>
    <font>
      <name val="Arial"/>
      <b val="1"/>
      <color rgb="00FFFFFF"/>
      <sz val="9"/>
    </font>
    <font>
      <name val="Arial"/>
      <color rgb="001A202C"/>
      <sz val="9"/>
    </font>
    <font>
      <name val="Arial"/>
      <color rgb="009CA3AF"/>
      <sz val="9"/>
    </font>
    <font>
      <name val="Arial"/>
      <color rgb="0016A34A"/>
      <sz val="9"/>
    </font>
    <font>
      <name val="Arial"/>
      <color rgb="00D97706"/>
      <sz val="9"/>
    </font>
    <font>
      <name val="Arial"/>
      <b val="1"/>
      <color rgb="00FFFFFF"/>
      <sz val="13"/>
    </font>
    <font>
      <name val="Arial"/>
      <i val="1"/>
      <color rgb="004A5568"/>
      <sz val="9"/>
    </font>
    <font>
      <name val="Courier New"/>
      <b val="1"/>
      <color rgb="007C3AED"/>
      <sz val="10"/>
    </font>
    <font>
      <name val="Arial"/>
      <color rgb="00EA580C"/>
      <sz val="9"/>
    </font>
    <font>
      <name val="Arial"/>
      <i val="1"/>
      <color rgb="0016A34A"/>
      <sz val="9"/>
    </font>
    <font>
      <name val="Courier New"/>
      <b val="1"/>
      <color rgb="002563EB"/>
      <sz val="10"/>
    </font>
    <font>
      <name val="Courier New"/>
      <b val="1"/>
      <color rgb="0016A34A"/>
      <sz val="10"/>
    </font>
    <font>
      <name val="Courier New"/>
      <b val="1"/>
      <color rgb="00D97706"/>
      <sz val="10"/>
    </font>
    <font>
      <name val="Courier New"/>
      <b val="1"/>
      <color rgb="00DC2626"/>
      <sz val="10"/>
    </font>
    <font>
      <name val="Courier New"/>
      <b val="1"/>
      <color rgb="006B7280"/>
      <sz val="10"/>
    </font>
    <font>
      <name val="Arial"/>
      <b val="1"/>
      <color rgb="001A202C"/>
      <sz val="14"/>
    </font>
  </fonts>
  <fills count="21">
    <fill>
      <patternFill/>
    </fill>
    <fill>
      <patternFill patternType="gray125"/>
    </fill>
    <fill>
      <patternFill patternType="solid">
        <fgColor rgb="004F46E5"/>
      </patternFill>
    </fill>
    <fill>
      <patternFill patternType="solid">
        <fgColor rgb="00EDE9FE"/>
      </patternFill>
    </fill>
    <fill>
      <patternFill patternType="solid">
        <fgColor rgb="00DBEAFE"/>
      </patternFill>
    </fill>
    <fill>
      <patternFill patternType="solid">
        <fgColor rgb="00DCFCE7"/>
      </patternFill>
    </fill>
    <fill>
      <patternFill patternType="solid">
        <fgColor rgb="00FEF9C3"/>
      </patternFill>
    </fill>
    <fill>
      <patternFill patternType="solid">
        <fgColor rgb="00FEE2E2"/>
      </patternFill>
    </fill>
    <fill>
      <patternFill patternType="solid">
        <fgColor rgb="00F3F4F6"/>
      </patternFill>
    </fill>
    <fill>
      <patternFill patternType="solid">
        <fgColor rgb="001A202C"/>
      </patternFill>
    </fill>
    <fill>
      <patternFill patternType="solid">
        <fgColor rgb="00FFFBEB"/>
      </patternFill>
    </fill>
    <fill>
      <patternFill patternType="solid">
        <fgColor rgb="007C3AED"/>
      </patternFill>
    </fill>
    <fill>
      <patternFill patternType="solid">
        <fgColor rgb="00F8F9FA"/>
      </patternFill>
    </fill>
    <fill>
      <patternFill patternType="solid">
        <fgColor rgb="00F0FDF4"/>
      </patternFill>
    </fill>
    <fill>
      <patternFill patternType="solid">
        <fgColor rgb="00FFFFFF"/>
      </patternFill>
    </fill>
    <fill>
      <patternFill patternType="solid">
        <fgColor rgb="002563EB"/>
      </patternFill>
    </fill>
    <fill>
      <patternFill patternType="solid">
        <fgColor rgb="0016A34A"/>
      </patternFill>
    </fill>
    <fill>
      <patternFill patternType="solid">
        <fgColor rgb="00D97706"/>
      </patternFill>
    </fill>
    <fill>
      <patternFill patternType="solid">
        <fgColor rgb="00DC2626"/>
      </patternFill>
    </fill>
    <fill>
      <patternFill patternType="solid">
        <fgColor rgb="006B7280"/>
      </patternFill>
    </fill>
    <fill>
      <patternFill patternType="solid">
        <fgColor rgb="00EEF2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6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5" borderId="1" applyAlignment="1" pivotButton="0" quotePrefix="0" xfId="0">
      <alignment horizontal="left" vertical="center" wrapText="1"/>
    </xf>
    <xf numFmtId="0" fontId="8" fillId="6"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8" borderId="1" applyAlignment="1" pivotButton="0" quotePrefix="0" xfId="0">
      <alignment horizontal="left" vertical="center" wrapText="1"/>
    </xf>
    <xf numFmtId="0" fontId="3" fillId="9" borderId="1" applyAlignment="1" pivotButton="0" quotePrefix="0" xfId="0">
      <alignment horizontal="left" vertical="center" wrapText="1"/>
    </xf>
    <xf numFmtId="0" fontId="3" fillId="9" borderId="1" applyAlignment="1" pivotButton="0" quotePrefix="0" xfId="0">
      <alignment horizontal="center" vertical="center" wrapText="1"/>
    </xf>
    <xf numFmtId="9" fontId="3" fillId="9" borderId="1" applyAlignment="1" pivotButton="0" quotePrefix="0" xfId="0">
      <alignment horizontal="center" vertical="center" wrapText="1"/>
    </xf>
    <xf numFmtId="0" fontId="11" fillId="10" borderId="0" applyAlignment="1" pivotButton="0" quotePrefix="0" xfId="0">
      <alignment horizontal="left" vertical="center" wrapText="1"/>
    </xf>
    <xf numFmtId="0" fontId="12" fillId="0" borderId="0" applyAlignment="1" pivotButton="0" quotePrefix="0" xfId="0">
      <alignment horizontal="left" vertical="center"/>
    </xf>
    <xf numFmtId="0" fontId="13" fillId="0" borderId="0"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2" borderId="1" applyAlignment="1" pivotButton="0" quotePrefix="0" xfId="0">
      <alignment horizontal="center" vertical="center" wrapText="1"/>
    </xf>
    <xf numFmtId="0" fontId="17" fillId="0" borderId="1" applyAlignment="1" pivotButton="0" quotePrefix="0" xfId="0">
      <alignment horizontal="left" vertical="center" wrapText="1"/>
    </xf>
    <xf numFmtId="0" fontId="18" fillId="0" borderId="1" applyAlignment="1" pivotButton="0" quotePrefix="0" xfId="0">
      <alignment horizontal="center" vertical="center" wrapText="1"/>
    </xf>
    <xf numFmtId="0" fontId="19" fillId="5" borderId="1" applyAlignment="1" pivotButton="0" quotePrefix="0" xfId="0">
      <alignment horizontal="center" vertical="center" wrapText="1"/>
    </xf>
    <xf numFmtId="0" fontId="20" fillId="6" borderId="1" applyAlignment="1" pivotButton="0" quotePrefix="0" xfId="0">
      <alignment horizontal="center" vertical="center" wrapText="1"/>
    </xf>
    <xf numFmtId="0" fontId="21" fillId="11" borderId="0" applyAlignment="1" pivotButton="0" quotePrefix="0" xfId="0">
      <alignment horizontal="left" vertical="center"/>
    </xf>
    <xf numFmtId="0" fontId="22" fillId="3" borderId="0" applyAlignment="1" pivotButton="0" quotePrefix="0" xfId="0">
      <alignment horizontal="left" vertical="center"/>
    </xf>
    <xf numFmtId="0" fontId="18" fillId="12" borderId="1" applyAlignment="1" pivotButton="0" quotePrefix="0" xfId="0">
      <alignment horizontal="center" vertical="center" wrapText="1"/>
    </xf>
    <xf numFmtId="0" fontId="23" fillId="3" borderId="1" applyAlignment="1" pivotButton="0" quotePrefix="0" xfId="0">
      <alignment horizontal="center" vertical="center" wrapText="1"/>
    </xf>
    <xf numFmtId="0" fontId="4" fillId="12" borderId="1" applyAlignment="1" pivotButton="0" quotePrefix="0" xfId="0">
      <alignment horizontal="left" vertical="top" wrapText="1"/>
    </xf>
    <xf numFmtId="0" fontId="9" fillId="7" borderId="1" applyAlignment="1" pivotButton="0" quotePrefix="0" xfId="0">
      <alignment horizontal="center" vertical="center" wrapText="1"/>
    </xf>
    <xf numFmtId="0" fontId="24" fillId="12" borderId="1" applyAlignment="1" pivotButton="0" quotePrefix="0" xfId="0">
      <alignment horizontal="left" vertical="top" wrapText="1"/>
    </xf>
    <xf numFmtId="0" fontId="10" fillId="8" borderId="1" applyAlignment="1" pivotButton="0" quotePrefix="0" xfId="0">
      <alignment horizontal="center" vertical="center" wrapText="1"/>
    </xf>
    <xf numFmtId="0" fontId="11" fillId="10" borderId="1" applyAlignment="1" pivotButton="0" quotePrefix="0" xfId="0">
      <alignment horizontal="left" vertical="top" wrapText="1"/>
    </xf>
    <xf numFmtId="0" fontId="17" fillId="12" borderId="1" applyAlignment="1" pivotButton="0" quotePrefix="0" xfId="0">
      <alignment horizontal="left" vertical="top" wrapText="1"/>
    </xf>
    <xf numFmtId="0" fontId="25" fillId="13" borderId="1" applyAlignment="1" pivotButton="0" quotePrefix="0" xfId="0">
      <alignment horizontal="left" vertical="top" wrapText="1"/>
    </xf>
    <xf numFmtId="0" fontId="18" fillId="14" borderId="1" applyAlignment="1" pivotButton="0" quotePrefix="0" xfId="0">
      <alignment horizontal="center" vertical="center" wrapText="1"/>
    </xf>
    <xf numFmtId="0" fontId="4" fillId="14" borderId="1" applyAlignment="1" pivotButton="0" quotePrefix="0" xfId="0">
      <alignment horizontal="left" vertical="top" wrapText="1"/>
    </xf>
    <xf numFmtId="0" fontId="24" fillId="14" borderId="1" applyAlignment="1" pivotButton="0" quotePrefix="0" xfId="0">
      <alignment horizontal="left" vertical="top" wrapText="1"/>
    </xf>
    <xf numFmtId="0" fontId="17" fillId="14" borderId="1" applyAlignment="1" pivotButton="0" quotePrefix="0" xfId="0">
      <alignment horizontal="left" vertical="top" wrapText="1"/>
    </xf>
    <xf numFmtId="0" fontId="8" fillId="6" borderId="1" applyAlignment="1" pivotButton="0" quotePrefix="0" xfId="0">
      <alignment horizontal="center" vertical="center" wrapText="1"/>
    </xf>
    <xf numFmtId="0" fontId="21" fillId="15" borderId="0" applyAlignment="1" pivotButton="0" quotePrefix="0" xfId="0">
      <alignment horizontal="left" vertical="center"/>
    </xf>
    <xf numFmtId="0" fontId="22" fillId="4" borderId="0" applyAlignment="1" pivotButton="0" quotePrefix="0" xfId="0">
      <alignment horizontal="left" vertical="center"/>
    </xf>
    <xf numFmtId="0" fontId="26" fillId="4" borderId="1" applyAlignment="1" pivotButton="0" quotePrefix="0" xfId="0">
      <alignment horizontal="center" vertical="center" wrapText="1"/>
    </xf>
    <xf numFmtId="0" fontId="21" fillId="16" borderId="0" applyAlignment="1" pivotButton="0" quotePrefix="0" xfId="0">
      <alignment horizontal="left" vertical="center"/>
    </xf>
    <xf numFmtId="0" fontId="22" fillId="5" borderId="0" applyAlignment="1" pivotButton="0" quotePrefix="0" xfId="0">
      <alignment horizontal="left" vertical="center"/>
    </xf>
    <xf numFmtId="0" fontId="27" fillId="5" borderId="1" applyAlignment="1" pivotButton="0" quotePrefix="0" xfId="0">
      <alignment horizontal="center" vertical="center" wrapText="1"/>
    </xf>
    <xf numFmtId="0" fontId="21" fillId="17" borderId="0" applyAlignment="1" pivotButton="0" quotePrefix="0" xfId="0">
      <alignment horizontal="left" vertical="center"/>
    </xf>
    <xf numFmtId="0" fontId="22" fillId="6" borderId="0" applyAlignment="1" pivotButton="0" quotePrefix="0" xfId="0">
      <alignment horizontal="left" vertical="center"/>
    </xf>
    <xf numFmtId="0" fontId="28" fillId="6" borderId="1" applyAlignment="1" pivotButton="0" quotePrefix="0" xfId="0">
      <alignment horizontal="center" vertical="center" wrapText="1"/>
    </xf>
    <xf numFmtId="0" fontId="21" fillId="18" borderId="0" applyAlignment="1" pivotButton="0" quotePrefix="0" xfId="0">
      <alignment horizontal="left" vertical="center"/>
    </xf>
    <xf numFmtId="0" fontId="22" fillId="7" borderId="0" applyAlignment="1" pivotButton="0" quotePrefix="0" xfId="0">
      <alignment horizontal="left" vertical="center"/>
    </xf>
    <xf numFmtId="0" fontId="29" fillId="7" borderId="1" applyAlignment="1" pivotButton="0" quotePrefix="0" xfId="0">
      <alignment horizontal="center" vertical="center" wrapText="1"/>
    </xf>
    <xf numFmtId="0" fontId="21" fillId="19" borderId="0" applyAlignment="1" pivotButton="0" quotePrefix="0" xfId="0">
      <alignment horizontal="left" vertical="center"/>
    </xf>
    <xf numFmtId="0" fontId="22" fillId="8" borderId="0" applyAlignment="1" pivotButton="0" quotePrefix="0" xfId="0">
      <alignment horizontal="left" vertical="center"/>
    </xf>
    <xf numFmtId="0" fontId="30" fillId="8" borderId="1" applyAlignment="1" pivotButton="0" quotePrefix="0" xfId="0">
      <alignment horizontal="center" vertical="center" wrapText="1"/>
    </xf>
    <xf numFmtId="0" fontId="31" fillId="0" borderId="0" applyAlignment="1" pivotButton="0" quotePrefix="0" xfId="0">
      <alignment horizontal="left" vertical="center"/>
    </xf>
    <xf numFmtId="0" fontId="3" fillId="2" borderId="1" applyAlignment="1" pivotButton="0" quotePrefix="0" xfId="0">
      <alignment horizontal="left" vertical="top" wrapText="1"/>
    </xf>
    <xf numFmtId="0" fontId="13" fillId="14" borderId="1" applyAlignment="1" pivotButton="0" quotePrefix="0" xfId="0">
      <alignment horizontal="left" vertical="top" wrapText="1"/>
    </xf>
    <xf numFmtId="0" fontId="14" fillId="14" borderId="1" applyAlignment="1" pivotButton="0" quotePrefix="0" xfId="0">
      <alignment horizontal="left" vertical="top" wrapText="1"/>
    </xf>
    <xf numFmtId="0" fontId="13" fillId="20" borderId="1" applyAlignment="1" pivotButton="0" quotePrefix="0" xfId="0">
      <alignment horizontal="left" vertical="top" wrapText="1"/>
    </xf>
    <xf numFmtId="0" fontId="14" fillId="2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27"/>
  <sheetViews>
    <sheetView showGridLines="0" workbookViewId="0">
      <selection activeCell="A1" sqref="A1"/>
    </sheetView>
  </sheetViews>
  <sheetFormatPr baseColWidth="8" defaultRowHeight="15"/>
  <cols>
    <col width="3" customWidth="1" min="1" max="1"/>
    <col width="22" customWidth="1" min="2" max="2"/>
    <col width="8" customWidth="1" min="3" max="3"/>
    <col width="14" customWidth="1" min="4" max="4"/>
    <col width="14" customWidth="1" min="5" max="5"/>
    <col width="12" customWidth="1" min="6" max="6"/>
    <col width="13" customWidth="1" min="7" max="7"/>
  </cols>
  <sheetData>
    <row r="1" ht="6" customHeight="1"/>
    <row r="2" ht="28" customHeight="1">
      <c r="B2" s="1" t="inlineStr">
        <is>
          <t>Plano de Testes — Pipeline RAG NovaTech</t>
        </is>
      </c>
    </row>
    <row r="3" ht="18" customHeight="1">
      <c r="B3" s="2" t="inlineStr">
        <is>
          <t>Azure AI Search + LLM  ·  Microsoft Teams + SharePoint  ·  Assistente de atendimento logística</t>
        </is>
      </c>
    </row>
    <row r="4" ht="8" customHeight="1"/>
    <row r="5" ht="22" customHeight="1">
      <c r="B5" s="3" t="inlineStr">
        <is>
          <t>Camada</t>
        </is>
      </c>
      <c r="C5" s="3" t="inlineStr">
        <is>
          <t>Total</t>
        </is>
      </c>
      <c r="D5" s="3" t="inlineStr">
        <is>
          <t>A fazer</t>
        </is>
      </c>
      <c r="E5" s="3" t="inlineStr">
        <is>
          <t>Em andamento</t>
        </is>
      </c>
      <c r="F5" s="3" t="inlineStr">
        <is>
          <t>Concluído</t>
        </is>
      </c>
      <c r="G5" s="3" t="inlineStr">
        <is>
          <t>Bloqueado</t>
        </is>
      </c>
      <c r="H5" s="3" t="inlineStr">
        <is>
          <t>% Concluído</t>
        </is>
      </c>
    </row>
    <row r="6" ht="20" customHeight="1">
      <c r="B6" s="4" t="inlineStr">
        <is>
          <t>Ingestão</t>
        </is>
      </c>
      <c r="C6" s="5" t="n">
        <v>5</v>
      </c>
      <c r="D6" s="5">
        <f>COUNTIF('1. Ingestão'!F:F,"A fazer")</f>
        <v/>
      </c>
      <c r="E6" s="5">
        <f>COUNTIF('1. Ingestão'!F:F,"Em andamento")</f>
        <v/>
      </c>
      <c r="F6" s="5">
        <f>COUNTIF('1. Ingestão'!F:F,"Concluído")</f>
        <v/>
      </c>
      <c r="G6" s="5">
        <f>COUNTIF('1. Ingestão'!F:F,"Bloqueado")</f>
        <v/>
      </c>
      <c r="H6" s="6">
        <f>IF(B6=0,0,COUNTIF('1. Ingestão'!F:F,"Concluído")/B6)</f>
        <v/>
      </c>
    </row>
    <row r="7" ht="20" customHeight="1">
      <c r="B7" s="7" t="inlineStr">
        <is>
          <t>Retrieval</t>
        </is>
      </c>
      <c r="C7" s="5" t="n">
        <v>9</v>
      </c>
      <c r="D7" s="5">
        <f>COUNTIF('2. Retrieval'!F:F,"A fazer")</f>
        <v/>
      </c>
      <c r="E7" s="5">
        <f>COUNTIF('2. Retrieval'!F:F,"Em andamento")</f>
        <v/>
      </c>
      <c r="F7" s="5">
        <f>COUNTIF('2. Retrieval'!F:F,"Concluído")</f>
        <v/>
      </c>
      <c r="G7" s="5">
        <f>COUNTIF('2. Retrieval'!F:F,"Bloqueado")</f>
        <v/>
      </c>
      <c r="H7" s="6">
        <f>IF(B7=0,0,COUNTIF('2. Retrieval'!F:F,"Concluído")/B7)</f>
        <v/>
      </c>
    </row>
    <row r="8" ht="20" customHeight="1">
      <c r="B8" s="8" t="inlineStr">
        <is>
          <t>Geração</t>
        </is>
      </c>
      <c r="C8" s="5" t="n">
        <v>6</v>
      </c>
      <c r="D8" s="5">
        <f>COUNTIF('3. Geração'!F:F,"A fazer")</f>
        <v/>
      </c>
      <c r="E8" s="5">
        <f>COUNTIF('3. Geração'!F:F,"Em andamento")</f>
        <v/>
      </c>
      <c r="F8" s="5">
        <f>COUNTIF('3. Geração'!F:F,"Concluído")</f>
        <v/>
      </c>
      <c r="G8" s="5">
        <f>COUNTIF('3. Geração'!F:F,"Bloqueado")</f>
        <v/>
      </c>
      <c r="H8" s="6">
        <f>IF(B8=0,0,COUNTIF('3. Geração'!F:F,"Concluído")/B8)</f>
        <v/>
      </c>
    </row>
    <row r="9" ht="20" customHeight="1">
      <c r="B9" s="9" t="inlineStr">
        <is>
          <t>Contexto</t>
        </is>
      </c>
      <c r="C9" s="5" t="n">
        <v>3</v>
      </c>
      <c r="D9" s="5">
        <f>COUNTIF('4. Contexto'!F:F,"A fazer")</f>
        <v/>
      </c>
      <c r="E9" s="5">
        <f>COUNTIF('4. Contexto'!F:F,"Em andamento")</f>
        <v/>
      </c>
      <c r="F9" s="5">
        <f>COUNTIF('4. Contexto'!F:F,"Concluído")</f>
        <v/>
      </c>
      <c r="G9" s="5">
        <f>COUNTIF('4. Contexto'!F:F,"Bloqueado")</f>
        <v/>
      </c>
      <c r="H9" s="6">
        <f>IF(B9=0,0,COUNTIF('4. Contexto'!F:F,"Concluído")/B9)</f>
        <v/>
      </c>
    </row>
    <row r="10" ht="20" customHeight="1">
      <c r="B10" s="10" t="inlineStr">
        <is>
          <t>E2E</t>
        </is>
      </c>
      <c r="C10" s="5" t="n">
        <v>5</v>
      </c>
      <c r="D10" s="5">
        <f>COUNTIF('5. E2E'!F:F,"A fazer")</f>
        <v/>
      </c>
      <c r="E10" s="5">
        <f>COUNTIF('5. E2E'!F:F,"Em andamento")</f>
        <v/>
      </c>
      <c r="F10" s="5">
        <f>COUNTIF('5. E2E'!F:F,"Concluído")</f>
        <v/>
      </c>
      <c r="G10" s="5">
        <f>COUNTIF('5. E2E'!F:F,"Bloqueado")</f>
        <v/>
      </c>
      <c r="H10" s="6">
        <f>IF(B10=0,0,COUNTIF('5. E2E'!F:F,"Concluído")/B10)</f>
        <v/>
      </c>
    </row>
    <row r="11" ht="20" customHeight="1">
      <c r="B11" s="11" t="inlineStr">
        <is>
          <t>Regressão</t>
        </is>
      </c>
      <c r="C11" s="5" t="n">
        <v>5</v>
      </c>
      <c r="D11" s="5">
        <f>COUNTIF('6. Regressão'!F:F,"A fazer")</f>
        <v/>
      </c>
      <c r="E11" s="5">
        <f>COUNTIF('6. Regressão'!F:F,"Em andamento")</f>
        <v/>
      </c>
      <c r="F11" s="5">
        <f>COUNTIF('6. Regressão'!F:F,"Concluído")</f>
        <v/>
      </c>
      <c r="G11" s="5">
        <f>COUNTIF('6. Regressão'!F:F,"Bloqueado")</f>
        <v/>
      </c>
      <c r="H11" s="6">
        <f>IF(B11=0,0,COUNTIF('6. Regressão'!F:F,"Concluído")/B11)</f>
        <v/>
      </c>
    </row>
    <row r="12" ht="22" customHeight="1">
      <c r="B12" s="12" t="inlineStr">
        <is>
          <t>TOTAL</t>
        </is>
      </c>
      <c r="C12" s="13">
        <f>SUM(C6:C11)</f>
        <v/>
      </c>
      <c r="D12" s="13">
        <f>SUM(D6:D11)</f>
        <v/>
      </c>
      <c r="E12" s="13">
        <f>SUM(E6:E11)</f>
        <v/>
      </c>
      <c r="F12" s="13">
        <f>SUM(F6:F11)</f>
        <v/>
      </c>
      <c r="G12" s="13">
        <f>SUM(G6:G11)</f>
        <v/>
      </c>
      <c r="H12" s="14">
        <f>SUM(H6:H11)</f>
        <v/>
      </c>
    </row>
    <row r="14" ht="32" customHeight="1">
      <c r="B14" s="15" t="inlineStr">
        <is>
          <t>⚠  IMPORTANTE: Testes de IA são não-determinísticos. Use graus de qualidade (0-3), não pass/fail binário. Temperature=0 reduz variação mas não elimina. Para escala, implemente LLM judge.</t>
        </is>
      </c>
    </row>
    <row r="16" ht="22" customHeight="1">
      <c r="B16" s="16" t="inlineStr">
        <is>
          <t>3 ARMADILHAS CRÍTICAS MAPEADAS</t>
        </is>
      </c>
    </row>
    <row r="17" ht="28" customHeight="1">
      <c r="B17" s="17" t="inlineStr">
        <is>
          <t>🔴  Armadilha 1</t>
        </is>
      </c>
      <c r="C17" s="18" t="inlineStr">
        <is>
          <t>PROC-042 v1 e v2 retornadas juntas — Azure AI Search não discrimina versões. System prompt deve instruir preferência pela v2. Testes: GEN-002 e RET-005.</t>
        </is>
      </c>
    </row>
    <row r="18" ht="28" customHeight="1">
      <c r="B18" s="17" t="inlineStr">
        <is>
          <t>🟠  Armadilha 2</t>
        </is>
      </c>
      <c r="C18" s="18" t="inlineStr">
        <is>
          <t>FAQ como fonte primária — FAQ-Atendimento não tem responsável nem validação de Compliance. System prompt deve implementar hierarquia de fontes. Teste: GEN-005.</t>
        </is>
      </c>
    </row>
    <row r="19" ht="28" customHeight="1">
      <c r="B19" s="17" t="inlineStr">
        <is>
          <t>🟡  Armadilha 3</t>
        </is>
      </c>
      <c r="C19" s="18" t="inlineStr">
        <is>
          <t>Gap silencioso no frete padrão (&lt;500kg) — 320 chamados/dia. Sem documento na base, LLM pode extrapolar a fórmula de frete especial indevidamente. Testes: GEN-003 e E2E-004.</t>
        </is>
      </c>
    </row>
    <row r="21" ht="22" customHeight="1">
      <c r="B21" s="19" t="inlineStr">
        <is>
          <t>QUANDO EXECUTAR CADA CAMADA</t>
        </is>
      </c>
    </row>
    <row r="22" ht="20" customHeight="1">
      <c r="B22" s="20" t="inlineStr">
        <is>
          <t>Gatilho</t>
        </is>
      </c>
      <c r="C22" s="20" t="inlineStr">
        <is>
          <t>Ingestão</t>
        </is>
      </c>
      <c r="D22" s="20" t="inlineStr">
        <is>
          <t>Retrieval</t>
        </is>
      </c>
      <c r="E22" s="20" t="inlineStr">
        <is>
          <t>Geração</t>
        </is>
      </c>
      <c r="F22" s="20" t="inlineStr">
        <is>
          <t>Contexto</t>
        </is>
      </c>
      <c r="G22" s="20" t="inlineStr">
        <is>
          <t>E2E</t>
        </is>
      </c>
      <c r="H22" s="20" t="inlineStr">
        <is>
          <t>Regressão</t>
        </is>
      </c>
    </row>
    <row r="23" ht="18" customHeight="1">
      <c r="B23" s="21" t="inlineStr">
        <is>
          <t>A cada PR</t>
        </is>
      </c>
      <c r="C23" s="22" t="inlineStr">
        <is>
          <t>—</t>
        </is>
      </c>
      <c r="D23" s="23" t="inlineStr">
        <is>
          <t>✅ Obrigatório</t>
        </is>
      </c>
      <c r="E23" s="24" t="inlineStr">
        <is>
          <t>⚡ 5 críticos</t>
        </is>
      </c>
      <c r="F23" s="22" t="inlineStr">
        <is>
          <t>—</t>
        </is>
      </c>
      <c r="G23" s="22" t="inlineStr">
        <is>
          <t>—</t>
        </is>
      </c>
      <c r="H23" s="23" t="inlineStr">
        <is>
          <t>✅ REG-001, REG-002</t>
        </is>
      </c>
    </row>
    <row r="24" ht="18" customHeight="1">
      <c r="B24" s="21" t="inlineStr">
        <is>
          <t>Novo documento</t>
        </is>
      </c>
      <c r="C24" s="23" t="inlineStr">
        <is>
          <t>✅ Obrigatório</t>
        </is>
      </c>
      <c r="D24" s="23" t="inlineStr">
        <is>
          <t>✅ Obrigatório</t>
        </is>
      </c>
      <c r="E24" s="22" t="inlineStr">
        <is>
          <t>—</t>
        </is>
      </c>
      <c r="F24" s="24" t="inlineStr">
        <is>
          <t>⚡ CTX-001</t>
        </is>
      </c>
      <c r="G24" s="23" t="inlineStr">
        <is>
          <t>✅ Completo</t>
        </is>
      </c>
      <c r="H24" s="23" t="inlineStr">
        <is>
          <t>✅ REG-001</t>
        </is>
      </c>
    </row>
    <row r="25" ht="18" customHeight="1">
      <c r="B25" s="21" t="inlineStr">
        <is>
          <t>Mudança de prompt</t>
        </is>
      </c>
      <c r="C25" s="22" t="inlineStr">
        <is>
          <t>—</t>
        </is>
      </c>
      <c r="D25" s="22" t="inlineStr">
        <is>
          <t>—</t>
        </is>
      </c>
      <c r="E25" s="23" t="inlineStr">
        <is>
          <t>✅ Obrigatório</t>
        </is>
      </c>
      <c r="F25" s="23" t="inlineStr">
        <is>
          <t>✅ Obrigatório</t>
        </is>
      </c>
      <c r="G25" s="23" t="inlineStr">
        <is>
          <t>✅ Completo</t>
        </is>
      </c>
      <c r="H25" s="23" t="inlineStr">
        <is>
          <t>✅ REG-002</t>
        </is>
      </c>
    </row>
    <row r="26" ht="18" customHeight="1">
      <c r="B26" s="21" t="inlineStr">
        <is>
          <t>Atualização de modelo</t>
        </is>
      </c>
      <c r="C26" s="23" t="inlineStr">
        <is>
          <t>✅ Todos</t>
        </is>
      </c>
      <c r="D26" s="23" t="inlineStr">
        <is>
          <t>✅ Todos</t>
        </is>
      </c>
      <c r="E26" s="23" t="inlineStr">
        <is>
          <t>✅ Todos</t>
        </is>
      </c>
      <c r="F26" s="23" t="inlineStr">
        <is>
          <t>✅ Todos</t>
        </is>
      </c>
      <c r="G26" s="23" t="inlineStr">
        <is>
          <t>✅ Todos</t>
        </is>
      </c>
      <c r="H26" s="23" t="inlineStr">
        <is>
          <t>✅ + Baseline</t>
        </is>
      </c>
    </row>
    <row r="27" ht="18" customHeight="1">
      <c r="B27" s="21" t="inlineStr">
        <is>
          <t>Semanal (CI)</t>
        </is>
      </c>
      <c r="C27" s="22" t="inlineStr">
        <is>
          <t>—</t>
        </is>
      </c>
      <c r="D27" s="23" t="inlineStr">
        <is>
          <t>✅ Completo</t>
        </is>
      </c>
      <c r="E27" s="24" t="inlineStr">
        <is>
          <t>⚡ Críticos</t>
        </is>
      </c>
      <c r="F27" s="22" t="inlineStr">
        <is>
          <t>—</t>
        </is>
      </c>
      <c r="G27" s="23" t="inlineStr">
        <is>
          <t>✅ Completo</t>
        </is>
      </c>
      <c r="H27" s="23" t="inlineStr">
        <is>
          <t>✅ REG-004</t>
        </is>
      </c>
    </row>
  </sheetData>
  <mergeCells count="9">
    <mergeCell ref="C17:J17"/>
    <mergeCell ref="B3:J3"/>
    <mergeCell ref="B12"/>
    <mergeCell ref="B14:J14"/>
    <mergeCell ref="C19:J19"/>
    <mergeCell ref="B2:J2"/>
    <mergeCell ref="B21:J21"/>
    <mergeCell ref="B16:J16"/>
    <mergeCell ref="C18:J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32" customWidth="1" min="3" max="3"/>
    <col width="12" customWidth="1" min="4" max="4"/>
    <col width="22" customWidth="1" min="5" max="5"/>
    <col width="16" customWidth="1" min="6" max="6"/>
    <col width="20" customWidth="1" min="7" max="7"/>
    <col width="22" customWidth="1" min="8" max="8"/>
    <col width="60" customWidth="1" min="9" max="9"/>
    <col width="28" customWidth="1" min="10" max="10"/>
  </cols>
  <sheetData>
    <row r="1" ht="28" customHeight="1">
      <c r="A1" s="25" t="inlineStr">
        <is>
          <t xml:space="preserve">  1. Ingestão</t>
        </is>
      </c>
    </row>
    <row r="2" ht="18" customHeight="1">
      <c r="A2" s="26" t="inlineStr">
        <is>
          <t xml:space="preserve">  Preencha Status e Responsável. Copie evidências no último campo. Não altere a coluna ID.</t>
        </is>
      </c>
    </row>
    <row r="3" ht="22" customHeight="1">
      <c r="A3" s="3" t="inlineStr">
        <is>
          <t>#</t>
        </is>
      </c>
      <c r="B3" s="3" t="inlineStr">
        <is>
          <t>ID</t>
        </is>
      </c>
      <c r="C3" s="3" t="inlineStr">
        <is>
          <t>Nome do Teste</t>
        </is>
      </c>
      <c r="D3" s="3" t="inlineStr">
        <is>
          <t>Prioridade</t>
        </is>
      </c>
      <c r="E3" s="3" t="inlineStr">
        <is>
          <t>Gatilho de Execução</t>
        </is>
      </c>
      <c r="F3" s="3" t="inlineStr">
        <is>
          <t>Status</t>
        </is>
      </c>
      <c r="G3" s="3" t="inlineStr">
        <is>
          <t>Responsável</t>
        </is>
      </c>
      <c r="H3" s="3" t="inlineStr">
        <is>
          <t>Risco</t>
        </is>
      </c>
      <c r="I3" s="3" t="inlineStr">
        <is>
          <t>Passo a Passo</t>
        </is>
      </c>
      <c r="J3" s="3" t="inlineStr">
        <is>
          <t>Evidência / Observações</t>
        </is>
      </c>
    </row>
    <row r="4" ht="84" customHeight="1">
      <c r="A4" s="27" t="n">
        <v>1</v>
      </c>
      <c r="B4" s="28" t="inlineStr">
        <is>
          <t>INS-001</t>
        </is>
      </c>
      <c r="C4" s="29" t="inlineStr">
        <is>
          <t>Inventário de documentos</t>
        </is>
      </c>
      <c r="D4" s="30" t="inlineStr">
        <is>
          <t>Alta</t>
        </is>
      </c>
      <c r="E4" s="31" t="inlineStr">
        <is>
          <t>Novo documento ingerido</t>
        </is>
      </c>
      <c r="F4" s="32" t="inlineStr">
        <is>
          <t>A fazer</t>
        </is>
      </c>
      <c r="G4" s="29" t="inlineStr"/>
      <c r="H4" s="33" t="inlineStr">
        <is>
          <t>3 fontes sem processo unificado — fácil perder um documento sem perceber.</t>
        </is>
      </c>
      <c r="I4" s="34" t="inlineStr">
        <is>
          <t>1. Executar script de ingestão completo
2. Obter manifesto das 3 fontes (SharePoint, Confluence, pasta de rede)
3. Listar documentos indexados no Azure AI Search
4. Comparar sets: faltando = esperados - indexados
5. Assert: len(faltando) == 0
6. Registrar total de docs indexados no campo Evidência</t>
        </is>
      </c>
      <c r="J4" s="35" t="inlineStr"/>
    </row>
    <row r="5" ht="112" customHeight="1">
      <c r="A5" s="36" t="n">
        <v>2</v>
      </c>
      <c r="B5" s="28" t="inlineStr">
        <is>
          <t>INS-002</t>
        </is>
      </c>
      <c r="C5" s="37" t="inlineStr">
        <is>
          <t>Integridade do conteúdo extraído</t>
        </is>
      </c>
      <c r="D5" s="30" t="inlineStr">
        <is>
          <t>Alta</t>
        </is>
      </c>
      <c r="E5" s="38" t="inlineStr">
        <is>
          <t>Novo documento ingerido</t>
        </is>
      </c>
      <c r="F5" s="32" t="inlineStr">
        <is>
          <t>A fazer</t>
        </is>
      </c>
      <c r="G5" s="37" t="inlineStr"/>
      <c r="H5" s="33" t="inlineStr">
        <is>
          <t>Conversores Word→texto perdem tabelas (ex: multiplicadores regionais PROC-042).</t>
        </is>
      </c>
      <c r="I5" s="39" t="inlineStr">
        <is>
          <t>1. Selecionar arquivo POL-001-politica-devolucao.md
2. Executar extrator de texto do pipeline
3. Verificar presença de '7 (sete) dias úteis' no texto extraído
4. Verificar presença de 'ramal 4500'
5. Verificar presença de 'Gestão de Riscos'
6. Verificar len(texto) &gt; 2000 chars
7. Repetir para PROC-042 (verificar tabela de multiplicadores intacta)
8. Capturar screenshot ou log como evidência</t>
        </is>
      </c>
      <c r="J5" s="35" t="inlineStr"/>
    </row>
    <row r="6" ht="84" customHeight="1">
      <c r="A6" s="27" t="n">
        <v>3</v>
      </c>
      <c r="B6" s="28" t="inlineStr">
        <is>
          <t>INS-003</t>
        </is>
      </c>
      <c r="C6" s="29" t="inlineStr">
        <is>
          <t>Chunking — sem quebra de tabela SLA</t>
        </is>
      </c>
      <c r="D6" s="40" t="inlineStr">
        <is>
          <t>Média</t>
        </is>
      </c>
      <c r="E6" s="31" t="inlineStr">
        <is>
          <t>Novo documento ingerido</t>
        </is>
      </c>
      <c r="F6" s="32" t="inlineStr">
        <is>
          <t>A fazer</t>
        </is>
      </c>
      <c r="G6" s="29" t="inlineStr"/>
      <c r="H6" s="33" t="inlineStr">
        <is>
          <t>Chunk parcial da tabela de SLA retorna resposta incompleta sobre cliente Gold.</t>
        </is>
      </c>
      <c r="I6" s="34" t="inlineStr">
        <is>
          <t>1. Executar chunkização do arquivo SLA-2024-tabela-sla-clientes.md
2. Localizar chunk que contém 'Gold'
3. Verificar que o mesmo chunk contém '2h úteis' (SLA de resposta)
4. Verificar que o mesmo chunk contém '24h úteis' (SLA de resolução)
5. Se falhar: ajustar estratégia de chunking (overlap ou chunk por seção)
6. Registrar tamanho médio de chunk como evidência</t>
        </is>
      </c>
      <c r="J6" s="35" t="inlineStr"/>
    </row>
    <row r="7" ht="98" customHeight="1">
      <c r="A7" s="36" t="n">
        <v>4</v>
      </c>
      <c r="B7" s="28" t="inlineStr">
        <is>
          <t>INS-004</t>
        </is>
      </c>
      <c r="C7" s="37" t="inlineStr">
        <is>
          <t>Versionamento PROC-042 v1 vs v2</t>
        </is>
      </c>
      <c r="D7" s="30" t="inlineStr">
        <is>
          <t>Alta</t>
        </is>
      </c>
      <c r="E7" s="38" t="inlineStr">
        <is>
          <t>Sempre (PR + novo doc)</t>
        </is>
      </c>
      <c r="F7" s="32" t="inlineStr">
        <is>
          <t>A fazer</t>
        </is>
      </c>
      <c r="G7" s="37" t="inlineStr"/>
      <c r="H7" s="33" t="inlineStr">
        <is>
          <t>PROC-042 existe em 2 versões sem marcação de obsolescência. Mistura gera cálculos errados.</t>
        </is>
      </c>
      <c r="I7" s="39" t="inlineStr">
        <is>
          <t>1. Buscar chunks com source='PROC-042-frete-especial-v1'
2. Buscar chunks com source='PROC-042-v2-frete-especial-revisado'
3. Assert: ambos os conjuntos têm len &gt; 0
4. Localizar chunk com 'Norte' na v1 → verificar '1.6'
5. Localizar chunk com 'Norte' na v2 → verificar '1.8'
6. Verificar que source_v1 != source_v2
7. Registrar IDs dos chunks como evidência</t>
        </is>
      </c>
      <c r="J7" s="35" t="inlineStr"/>
    </row>
    <row r="8" ht="80" customHeight="1">
      <c r="A8" s="27" t="n">
        <v>5</v>
      </c>
      <c r="B8" s="28" t="inlineStr">
        <is>
          <t>INS-005</t>
        </is>
      </c>
      <c r="C8" s="29" t="inlineStr">
        <is>
          <t>Metadata obrigatória em todos os chunks</t>
        </is>
      </c>
      <c r="D8" s="30" t="inlineStr">
        <is>
          <t>Alta</t>
        </is>
      </c>
      <c r="E8" s="31" t="inlineStr">
        <is>
          <t>Sempre (PR)</t>
        </is>
      </c>
      <c r="F8" s="32" t="inlineStr">
        <is>
          <t>A fazer</t>
        </is>
      </c>
      <c r="G8" s="29" t="inlineStr"/>
      <c r="H8" s="33" t="inlineStr">
        <is>
          <t>Sem metadata, citação de fonte na resposta não funciona.</t>
        </is>
      </c>
      <c r="I8" s="34" t="inlineStr">
        <is>
          <t>1. Listar todos os chunks do índice Azure AI Search
2. Para cada chunk, verificar campos: source_document, version, last_updated, doc_type
3. doc_type deve ser um de: POL, PROC, SLA, FAQ
4. Assert: nenhum campo ausente ou nulo
5. Registrar total de chunks verificados e % com metadata completa</t>
        </is>
      </c>
      <c r="J8" s="35" t="inlineStr"/>
    </row>
  </sheetData>
  <mergeCells count="2">
    <mergeCell ref="A1:J1"/>
    <mergeCell ref="A2:J2"/>
  </mergeCells>
  <dataValidations count="2">
    <dataValidation sqref="F4 F5 F6 F7 F8" showDropDown="0" showInputMessage="0" showErrorMessage="0" allowBlank="0" type="list">
      <formula1>"A fazer,Em andamento,Concluído,Bloqueado,Ignorado"</formula1>
    </dataValidation>
    <dataValidation sqref="D4 D5 D6 D7 D8" showDropDown="0" showInputMessage="0" showErrorMessage="0" allowBlank="1" type="list">
      <formula1>"Alta,Média,Baixa"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32" customWidth="1" min="3" max="3"/>
    <col width="12" customWidth="1" min="4" max="4"/>
    <col width="22" customWidth="1" min="5" max="5"/>
    <col width="16" customWidth="1" min="6" max="6"/>
    <col width="20" customWidth="1" min="7" max="7"/>
    <col width="22" customWidth="1" min="8" max="8"/>
    <col width="60" customWidth="1" min="9" max="9"/>
    <col width="28" customWidth="1" min="10" max="10"/>
  </cols>
  <sheetData>
    <row r="1" ht="28" customHeight="1">
      <c r="A1" s="41" t="inlineStr">
        <is>
          <t xml:space="preserve">  2. Retrieval</t>
        </is>
      </c>
    </row>
    <row r="2" ht="18" customHeight="1">
      <c r="A2" s="42" t="inlineStr">
        <is>
          <t xml:space="preserve">  Preencha Status e Responsável. Copie evidências no último campo. Não altere a coluna ID.</t>
        </is>
      </c>
    </row>
    <row r="3" ht="22" customHeight="1">
      <c r="A3" s="3" t="inlineStr">
        <is>
          <t>#</t>
        </is>
      </c>
      <c r="B3" s="3" t="inlineStr">
        <is>
          <t>ID</t>
        </is>
      </c>
      <c r="C3" s="3" t="inlineStr">
        <is>
          <t>Nome do Teste</t>
        </is>
      </c>
      <c r="D3" s="3" t="inlineStr">
        <is>
          <t>Prioridade</t>
        </is>
      </c>
      <c r="E3" s="3" t="inlineStr">
        <is>
          <t>Gatilho de Execução</t>
        </is>
      </c>
      <c r="F3" s="3" t="inlineStr">
        <is>
          <t>Status</t>
        </is>
      </c>
      <c r="G3" s="3" t="inlineStr">
        <is>
          <t>Responsável</t>
        </is>
      </c>
      <c r="H3" s="3" t="inlineStr">
        <is>
          <t>Risco</t>
        </is>
      </c>
      <c r="I3" s="3" t="inlineStr">
        <is>
          <t>Passo a Passo</t>
        </is>
      </c>
      <c r="J3" s="3" t="inlineStr">
        <is>
          <t>Evidência / Observações</t>
        </is>
      </c>
    </row>
    <row r="4" ht="84" customHeight="1">
      <c r="A4" s="27" t="n">
        <v>1</v>
      </c>
      <c r="B4" s="43" t="inlineStr">
        <is>
          <t>RET-001</t>
        </is>
      </c>
      <c r="C4" s="29" t="inlineStr">
        <is>
          <t>Devolução — prazo padrão</t>
        </is>
      </c>
      <c r="D4" s="30" t="inlineStr">
        <is>
          <t>Alta</t>
        </is>
      </c>
      <c r="E4" s="31" t="inlineStr">
        <is>
          <t>Sempre (PR)</t>
        </is>
      </c>
      <c r="F4" s="32" t="inlineStr">
        <is>
          <t>A fazer</t>
        </is>
      </c>
      <c r="G4" s="29" t="inlineStr"/>
      <c r="H4" s="33" t="inlineStr">
        <is>
          <t>Base de todas as respostas de devolução.</t>
        </is>
      </c>
      <c r="I4" s="34" t="inlineStr">
        <is>
          <t>1. Executar query: 'Qual o prazo para solicitar devolução de mercadoria?'
2. Parâmetros: topK=5
3. Extrair IDs dos chunks retornados
4. Assert: 'POL-001-A' está entre os top-5
5. Assert: 'POL-001-B' está entre os top-5
6. Registrar scores de relevância como evidência</t>
        </is>
      </c>
      <c r="J4" s="35" t="inlineStr"/>
    </row>
    <row r="5" ht="80" customHeight="1">
      <c r="A5" s="36" t="n">
        <v>2</v>
      </c>
      <c r="B5" s="43" t="inlineStr">
        <is>
          <t>RET-002</t>
        </is>
      </c>
      <c r="C5" s="37" t="inlineStr">
        <is>
          <t>Devolução — carga perigosa</t>
        </is>
      </c>
      <c r="D5" s="30" t="inlineStr">
        <is>
          <t>Alta</t>
        </is>
      </c>
      <c r="E5" s="38" t="inlineStr">
        <is>
          <t>Sempre (PR)</t>
        </is>
      </c>
      <c r="F5" s="32" t="inlineStr">
        <is>
          <t>A fazer</t>
        </is>
      </c>
      <c r="G5" s="37" t="inlineStr"/>
      <c r="H5" s="33" t="inlineStr">
        <is>
          <t>FAQ como fonte primária pode induzir autorização indevida de devolução de carga perigosa.</t>
        </is>
      </c>
      <c r="I5" s="39" t="inlineStr">
        <is>
          <t>1. Executar query: 'Posso devolver carga perigosa pelo processo padrão?'
2. Parâmetros: topK=5
3. Assert: 'POL-001-B' está no top-5
4. Verificar: 'POL-001-B' tem rank maior (mais relevante) que qualquer chunk de FAQ
5. Registrar posição do POL-001-B no ranking</t>
        </is>
      </c>
      <c r="J5" s="35" t="inlineStr"/>
    </row>
    <row r="6" ht="80" customHeight="1">
      <c r="A6" s="27" t="n">
        <v>3</v>
      </c>
      <c r="B6" s="43" t="inlineStr">
        <is>
          <t>RET-003</t>
        </is>
      </c>
      <c r="C6" s="29" t="inlineStr">
        <is>
          <t>SLA — cliente Gold, incidente crítico</t>
        </is>
      </c>
      <c r="D6" s="30" t="inlineStr">
        <is>
          <t>Alta</t>
        </is>
      </c>
      <c r="E6" s="31" t="inlineStr">
        <is>
          <t>Sempre (PR)</t>
        </is>
      </c>
      <c r="F6" s="32" t="inlineStr">
        <is>
          <t>A fazer</t>
        </is>
      </c>
      <c r="G6" s="29" t="inlineStr"/>
      <c r="H6" s="33" t="inlineStr">
        <is>
          <t>SLA errado em incidente crítico gera violação contratual.</t>
        </is>
      </c>
      <c r="I6" s="34" t="inlineStr">
        <is>
          <t>1. Executar query: 'Qual o SLA de resposta para cliente Gold em incidente crítico?'
2. Assert: 'SLA-2024-C' no top-5
3. Assert: 'SLA-2024-A' no top-5
4. Registrar os 5 chunks retornados com scores</t>
        </is>
      </c>
      <c r="J6" s="35" t="inlineStr"/>
    </row>
    <row r="7" ht="80" customHeight="1">
      <c r="A7" s="36" t="n">
        <v>4</v>
      </c>
      <c r="B7" s="43" t="inlineStr">
        <is>
          <t>RET-004</t>
        </is>
      </c>
      <c r="C7" s="37" t="inlineStr">
        <is>
          <t>SLA — tier inexistente (Platinum)</t>
        </is>
      </c>
      <c r="D7" s="40" t="inlineStr">
        <is>
          <t>Média</t>
        </is>
      </c>
      <c r="E7" s="38" t="inlineStr">
        <is>
          <t>Sempre (PR)</t>
        </is>
      </c>
      <c r="F7" s="32" t="inlineStr">
        <is>
          <t>A fazer</t>
        </is>
      </c>
      <c r="G7" s="37" t="inlineStr"/>
      <c r="H7" s="33" t="inlineStr">
        <is>
          <t>Sem o chunk correto, LLM pode inventar SLA para tier inexistente.</t>
        </is>
      </c>
      <c r="I7" s="39" t="inlineStr">
        <is>
          <t>1. Executar query: 'Qual o SLA do cliente Platinum?'
2. Assert: 'SLA-2024-A' está no top-5 (contém 'não existem outros tiers')
3. Verificar que o chunk recuperado menciona explicitamente a ausência do tier Platinum</t>
        </is>
      </c>
      <c r="J7" s="35" t="inlineStr"/>
    </row>
    <row r="8" ht="80" customHeight="1">
      <c r="A8" s="27" t="n">
        <v>5</v>
      </c>
      <c r="B8" s="43" t="inlineStr">
        <is>
          <t>RET-005</t>
        </is>
      </c>
      <c r="C8" s="29" t="inlineStr">
        <is>
          <t>Frete especial — PROC-042 versão correta</t>
        </is>
      </c>
      <c r="D8" s="30" t="inlineStr">
        <is>
          <t>Alta</t>
        </is>
      </c>
      <c r="E8" s="31" t="inlineStr">
        <is>
          <t>Sempre (PR)</t>
        </is>
      </c>
      <c r="F8" s="32" t="inlineStr">
        <is>
          <t>A fazer</t>
        </is>
      </c>
      <c r="G8" s="29" t="inlineStr"/>
      <c r="H8" s="33" t="inlineStr">
        <is>
          <t>Azure AI Search não discrimina versões — pode retornar v1 ou ambas.</t>
        </is>
      </c>
      <c r="I8" s="34" t="inlineStr">
        <is>
          <t>1. Executar query: 'Calcule o frete para 800kg com destino a Manaus'
2. Assert: 'PROC-042v2-A' no top-5
3. Assert: 'PROC-042v2-B' no top-5
4. Se 'PROC-042-A' (v1) aparecer, verificar que 'PROC-042v2-B' também está presente
5. Registrar se v1 apareceu junto com v2 (comportamento esperado mas a monitorar)</t>
        </is>
      </c>
      <c r="J8" s="35" t="inlineStr"/>
    </row>
    <row r="9" ht="80" customHeight="1">
      <c r="A9" s="36" t="n">
        <v>6</v>
      </c>
      <c r="B9" s="43" t="inlineStr">
        <is>
          <t>RET-006</t>
        </is>
      </c>
      <c r="C9" s="37" t="inlineStr">
        <is>
          <t>Gap — frete padrão &lt;500kg</t>
        </is>
      </c>
      <c r="D9" s="30" t="inlineStr">
        <is>
          <t>Alta</t>
        </is>
      </c>
      <c r="E9" s="38" t="inlineStr">
        <is>
          <t>Sempre (PR)</t>
        </is>
      </c>
      <c r="F9" s="32" t="inlineStr">
        <is>
          <t>A fazer</t>
        </is>
      </c>
      <c r="G9" s="37" t="inlineStr"/>
      <c r="H9" s="33" t="inlineStr">
        <is>
          <t>Gap silencioso: 320 chamados/dia sem documentação cobrindo esse caso.</t>
        </is>
      </c>
      <c r="I9" s="39" t="inlineStr">
        <is>
          <t>1. Executar query: 'Frete para 300kg para Salvador'
2. Verificar que nenhum chunk específico de frete padrão &lt;500kg é retornado
3. Documentar quais chunks são retornados (provavelmente PROC-042 por proximidade semântica)
4. Esse resultado alimenta o teste GEN-003 (comportamento do LLM sem contexto válido)</t>
        </is>
      </c>
      <c r="J9" s="35" t="inlineStr"/>
    </row>
    <row r="10" ht="80" customHeight="1">
      <c r="A10" s="27" t="n">
        <v>7</v>
      </c>
      <c r="B10" s="43" t="inlineStr">
        <is>
          <t>RET-007</t>
        </is>
      </c>
      <c r="C10" s="29" t="inlineStr">
        <is>
          <t>SLA — penalidades por violação</t>
        </is>
      </c>
      <c r="D10" s="40" t="inlineStr">
        <is>
          <t>Média</t>
        </is>
      </c>
      <c r="E10" s="31" t="inlineStr">
        <is>
          <t>Sempre (PR)</t>
        </is>
      </c>
      <c r="F10" s="32" t="inlineStr">
        <is>
          <t>A fazer</t>
        </is>
      </c>
      <c r="G10" s="29" t="inlineStr"/>
      <c r="H10" s="33" t="inlineStr">
        <is>
          <t>Penalidades ausentes geram subnotificação de violações contratuais.</t>
        </is>
      </c>
      <c r="I10" s="34" t="inlineStr">
        <is>
          <t>1. Executar query: 'Quais são as penalidades por violação de SLA?'
2. Assert: 'SLA-2024-E' no top-5
3. Registrar score de relevância do SLA-2024-E</t>
        </is>
      </c>
      <c r="J10" s="35" t="inlineStr"/>
    </row>
    <row r="11" ht="80" customHeight="1">
      <c r="A11" s="36" t="n">
        <v>8</v>
      </c>
      <c r="B11" s="43" t="inlineStr">
        <is>
          <t>RET-008</t>
        </is>
      </c>
      <c r="C11" s="37" t="inlineStr">
        <is>
          <t>Multi-domínio (multi-hop)</t>
        </is>
      </c>
      <c r="D11" s="30" t="inlineStr">
        <is>
          <t>Alta</t>
        </is>
      </c>
      <c r="E11" s="38" t="inlineStr">
        <is>
          <t>Sempre (PR)</t>
        </is>
      </c>
      <c r="F11" s="32" t="inlineStr">
        <is>
          <t>A fazer</t>
        </is>
      </c>
      <c r="G11" s="37" t="inlineStr"/>
      <c r="H11" s="33" t="inlineStr">
        <is>
          <t>Falha multi-hop é a causa mais comum de respostas incompletas em RAG com regras cruzadas.</t>
        </is>
      </c>
      <c r="I11" s="39" t="inlineStr">
        <is>
          <t>1. Executar query: 'Prazo de devolução para carga perigosa com frete especial acima de 1000kg'
2. Assert: todos estes chunks no top-5: POL-001-A, POL-001-B, PROC-042v2-A, PROC-042v2-B
3. Se falhar: aumentar topK para 8 e verificar se os 4 chunks aparecem
4. Registrar topK mínimo necessário para cobrir todos os chunks esperados</t>
        </is>
      </c>
      <c r="J11" s="35" t="inlineStr"/>
    </row>
    <row r="12" ht="84" customHeight="1">
      <c r="A12" s="27" t="n">
        <v>9</v>
      </c>
      <c r="B12" s="43" t="inlineStr">
        <is>
          <t>RET-009</t>
        </is>
      </c>
      <c r="C12" s="29" t="inlineStr">
        <is>
          <t>Recall@5 geral ≥ 80%</t>
        </is>
      </c>
      <c r="D12" s="30" t="inlineStr">
        <is>
          <t>Alta</t>
        </is>
      </c>
      <c r="E12" s="31" t="inlineStr">
        <is>
          <t>Sempre (PR) + Semanal (CI)</t>
        </is>
      </c>
      <c r="F12" s="32" t="inlineStr">
        <is>
          <t>A fazer</t>
        </is>
      </c>
      <c r="G12" s="29" t="inlineStr"/>
      <c r="H12" s="33" t="inlineStr">
        <is>
          <t>Recall &lt; 80% indica degradação estrutural do índice ou embedding model.</t>
        </is>
      </c>
      <c r="I12" s="34" t="inlineStr">
        <is>
          <t>1. Executar todas as queries do golden dataset (RET-001 a RET-008) com topK=5
2. Para cada par: contar chunks esperados presentes no top-5 (hits)
3. Recall@5 = hits / total_esperados
4. Assert: Recall@5 &gt; 0.80
5. Logar resultado: 'Recall@5: X.X%'
6. Comparar com baseline anterior. Alertar se regrediu &gt; 5%</t>
        </is>
      </c>
      <c r="J12" s="35" t="inlineStr"/>
    </row>
  </sheetData>
  <mergeCells count="2">
    <mergeCell ref="A1:J1"/>
    <mergeCell ref="A2:J2"/>
  </mergeCells>
  <dataValidations count="2">
    <dataValidation sqref="F4 F5 F6 F7 F8 F9 F10 F11 F12" showDropDown="0" showInputMessage="0" showErrorMessage="0" allowBlank="0" type="list">
      <formula1>"A fazer,Em andamento,Concluído,Bloqueado,Ignorado"</formula1>
    </dataValidation>
    <dataValidation sqref="D4 D5 D6 D7 D8 D9 D10 D11 D12" showDropDown="0" showInputMessage="0" showErrorMessage="0" allowBlank="1" type="list">
      <formula1>"Alta,Média,Baixa"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32" customWidth="1" min="3" max="3"/>
    <col width="12" customWidth="1" min="4" max="4"/>
    <col width="22" customWidth="1" min="5" max="5"/>
    <col width="16" customWidth="1" min="6" max="6"/>
    <col width="20" customWidth="1" min="7" max="7"/>
    <col width="22" customWidth="1" min="8" max="8"/>
    <col width="60" customWidth="1" min="9" max="9"/>
    <col width="28" customWidth="1" min="10" max="10"/>
  </cols>
  <sheetData>
    <row r="1" ht="28" customHeight="1">
      <c r="A1" s="44" t="inlineStr">
        <is>
          <t xml:space="preserve">  3. Geração</t>
        </is>
      </c>
    </row>
    <row r="2" ht="18" customHeight="1">
      <c r="A2" s="45" t="inlineStr">
        <is>
          <t xml:space="preserve">  Preencha Status e Responsável. Copie evidências no último campo. Não altere a coluna ID.</t>
        </is>
      </c>
    </row>
    <row r="3" ht="22" customHeight="1">
      <c r="A3" s="3" t="inlineStr">
        <is>
          <t>#</t>
        </is>
      </c>
      <c r="B3" s="3" t="inlineStr">
        <is>
          <t>ID</t>
        </is>
      </c>
      <c r="C3" s="3" t="inlineStr">
        <is>
          <t>Nome do Teste</t>
        </is>
      </c>
      <c r="D3" s="3" t="inlineStr">
        <is>
          <t>Prioridade</t>
        </is>
      </c>
      <c r="E3" s="3" t="inlineStr">
        <is>
          <t>Gatilho de Execução</t>
        </is>
      </c>
      <c r="F3" s="3" t="inlineStr">
        <is>
          <t>Status</t>
        </is>
      </c>
      <c r="G3" s="3" t="inlineStr">
        <is>
          <t>Responsável</t>
        </is>
      </c>
      <c r="H3" s="3" t="inlineStr">
        <is>
          <t>Risco</t>
        </is>
      </c>
      <c r="I3" s="3" t="inlineStr">
        <is>
          <t>Passo a Passo</t>
        </is>
      </c>
      <c r="J3" s="3" t="inlineStr">
        <is>
          <t>Evidência / Observações</t>
        </is>
      </c>
    </row>
    <row r="4" ht="98" customHeight="1">
      <c r="A4" s="27" t="n">
        <v>1</v>
      </c>
      <c r="B4" s="46" t="inlineStr">
        <is>
          <t>GEN-001</t>
        </is>
      </c>
      <c r="C4" s="29" t="inlineStr">
        <is>
          <t>Não autoriza devolução de carga perigosa</t>
        </is>
      </c>
      <c r="D4" s="30" t="inlineStr">
        <is>
          <t>Alta</t>
        </is>
      </c>
      <c r="E4" s="31" t="inlineStr">
        <is>
          <t>Sempre (PR) + Mudança de prompt</t>
        </is>
      </c>
      <c r="F4" s="32" t="inlineStr">
        <is>
          <t>A fazer</t>
        </is>
      </c>
      <c r="G4" s="29" t="inlineStr"/>
      <c r="H4" s="33" t="inlineStr">
        <is>
          <t>Inversão de regra crítica de segurança. Potencial responsabilidade legal.</t>
        </is>
      </c>
      <c r="I4" s="34" t="inlineStr">
        <is>
          <t>1. Injetar manualmente chunk CHUNK_POL001_B no contexto (NÃO usar retrieval aqui)
2. Chamar LLM com temperature=0, pergunta: 'Posso devolver carga perigosa?'
3. Assert negativo: resposta NÃO contém 'pode devolver.*processo padrão'
4. Assert negativo: resposta NÃO contém 'sim.*devolver.*carga perigosa'
5. Assert positivo: resposta contém 'ramal 4500' OU 'Gestão de Riscos'
6. Assert positivo: resposta contém 'não.*processo padrão' OU 'tratamento especial'
7. Executar 3x para verificar consistência com temperature=0</t>
        </is>
      </c>
      <c r="J4" s="35" t="inlineStr"/>
    </row>
    <row r="5" ht="84" customHeight="1">
      <c r="A5" s="36" t="n">
        <v>2</v>
      </c>
      <c r="B5" s="46" t="inlineStr">
        <is>
          <t>GEN-002</t>
        </is>
      </c>
      <c r="C5" s="37" t="inlineStr">
        <is>
          <t>Usa multiplicadores v2 com ambas versões no contexto</t>
        </is>
      </c>
      <c r="D5" s="30" t="inlineStr">
        <is>
          <t>Alta</t>
        </is>
      </c>
      <c r="E5" s="38" t="inlineStr">
        <is>
          <t>Sempre (PR) + Mudança de prompt</t>
        </is>
      </c>
      <c r="F5" s="32" t="inlineStr">
        <is>
          <t>A fazer</t>
        </is>
      </c>
      <c r="G5" s="37" t="inlineStr"/>
      <c r="H5" s="33" t="inlineStr">
        <is>
          <t>Pipeline retorna v1 + v2 — LLM deve priorizar v2 conforme instruído no system prompt.</t>
        </is>
      </c>
      <c r="I5" s="39" t="inlineStr">
        <is>
          <t>1. Injetar AMBOS: CHUNK_PROC042_B_V1 e CHUNK_PROC042V2_B no contexto
2. Chamar LLM com temperature=0, pergunta: 'Qual o multiplicador para região Norte?'
3. Assert positivo: resposta contém '1.8' (Norte v2)
4. Assert negativo: resposta NÃO contém '1.6' (Norte v1)
5. Verificar que resposta indica a versão usada (ex: 'conforme PROC-042 v2')
6. Executar 3x para verificar consistência</t>
        </is>
      </c>
      <c r="J5" s="35" t="inlineStr"/>
    </row>
    <row r="6" ht="80" customHeight="1">
      <c r="A6" s="27" t="n">
        <v>3</v>
      </c>
      <c r="B6" s="46" t="inlineStr">
        <is>
          <t>GEN-003</t>
        </is>
      </c>
      <c r="C6" s="29" t="inlineStr">
        <is>
          <t>Reconhece gap de documentação</t>
        </is>
      </c>
      <c r="D6" s="30" t="inlineStr">
        <is>
          <t>Alta</t>
        </is>
      </c>
      <c r="E6" s="31" t="inlineStr">
        <is>
          <t>Sempre (PR) + Mudança de prompt</t>
        </is>
      </c>
      <c r="F6" s="32" t="inlineStr">
        <is>
          <t>A fazer</t>
        </is>
      </c>
      <c r="G6" s="29" t="inlineStr"/>
      <c r="H6" s="33" t="inlineStr">
        <is>
          <t>Gap silencioso: LLM pode extrapolar fórmula de frete especial para casos fora do escopo.</t>
        </is>
      </c>
      <c r="I6" s="34" t="inlineStr">
        <is>
          <t>1. Injetar contexto VAZIO (chunks=[]) — não há documento para frete padrão &lt;500kg
2. Chamar LLM com temperature=0, pergunta: 'Qual o frete para 300kg para São Paulo?'
3. Assert positivo: resposta contém 'não encontrei' OU 'não está na documentação' OU 'consulte'
4. Assert negativo: resposta NÃO contém padrão monetário (R$ + dígitos)
5. Verificar que NÃO aplicou fórmula de frete especial indevidamente</t>
        </is>
      </c>
      <c r="J6" s="35" t="inlineStr"/>
    </row>
    <row r="7" ht="80" customHeight="1">
      <c r="A7" s="36" t="n">
        <v>4</v>
      </c>
      <c r="B7" s="46" t="inlineStr">
        <is>
          <t>GEN-004</t>
        </is>
      </c>
      <c r="C7" s="37" t="inlineStr">
        <is>
          <t>Não inventa SLA para tier inexistente</t>
        </is>
      </c>
      <c r="D7" s="30" t="inlineStr">
        <is>
          <t>Alta</t>
        </is>
      </c>
      <c r="E7" s="38" t="inlineStr">
        <is>
          <t>Sempre (PR) + Mudança de prompt</t>
        </is>
      </c>
      <c r="F7" s="32" t="inlineStr">
        <is>
          <t>A fazer</t>
        </is>
      </c>
      <c r="G7" s="37" t="inlineStr"/>
      <c r="H7" s="33" t="inlineStr">
        <is>
          <t>Alucinação de tier gera expectativa falsa com cliente — violação contratual.</t>
        </is>
      </c>
      <c r="I7" s="39" t="inlineStr">
        <is>
          <t>1. Injetar chunk CHUNK_SLA2024_A no contexto
2. Chamar LLM com temperature=0, pergunta: 'Qual o SLA do cliente Platinum?'
3. Assert positivo: resposta contém 'não existe' OU 'não há.*Platinum' OU 'apenas.*Gold.*Silver.*Standard'
4. Assert negativo: resposta NÃO contém padrão 'Platinum.*Nh' (número de horas)</t>
        </is>
      </c>
      <c r="J7" s="35" t="inlineStr"/>
    </row>
    <row r="8" ht="80" customHeight="1">
      <c r="A8" s="27" t="n">
        <v>5</v>
      </c>
      <c r="B8" s="46" t="inlineStr">
        <is>
          <t>GEN-005</t>
        </is>
      </c>
      <c r="C8" s="29" t="inlineStr">
        <is>
          <t>Sinaliza fonte informal (FAQ)</t>
        </is>
      </c>
      <c r="D8" s="40" t="inlineStr">
        <is>
          <t>Média</t>
        </is>
      </c>
      <c r="E8" s="31" t="inlineStr">
        <is>
          <t>Mudança de prompt</t>
        </is>
      </c>
      <c r="F8" s="32" t="inlineStr">
        <is>
          <t>A fazer</t>
        </is>
      </c>
      <c r="G8" s="29" t="inlineStr"/>
      <c r="H8" s="33" t="inlineStr">
        <is>
          <t>FAQ sem responsável/validação não deve ter mesma confiança que POL/PROC.</t>
        </is>
      </c>
      <c r="I8" s="34" t="inlineStr">
        <is>
          <t>1. Injetar chunk CHUNK_FAQ_32 no contexto
2. Chamar LLM com temperature=0, pergunta: 'Posso enviar carga perigosa com frete expresso?'
3. Assert: resposta contém 'FAQ' OU 'orientação informal' OU 'confirme com' OU 'verifique com Compliance'
4. Verificar que a resposta NÃO afirma com certeza — deve sinalizar necessidade de confirmação
5. Documentar no campo Evidência o trecho da resposta que demonstra o sinal de incerteza</t>
        </is>
      </c>
      <c r="J8" s="35" t="inlineStr"/>
    </row>
    <row r="9" ht="112" customHeight="1">
      <c r="A9" s="36" t="n">
        <v>6</v>
      </c>
      <c r="B9" s="46" t="inlineStr">
        <is>
          <t>GEN-006</t>
        </is>
      </c>
      <c r="C9" s="37" t="inlineStr">
        <is>
          <t>Cálculo correto de frete especial v2</t>
        </is>
      </c>
      <c r="D9" s="30" t="inlineStr">
        <is>
          <t>Alta</t>
        </is>
      </c>
      <c r="E9" s="38" t="inlineStr">
        <is>
          <t>Mudança de prompt + Novo doc</t>
        </is>
      </c>
      <c r="F9" s="32" t="inlineStr">
        <is>
          <t>A fazer</t>
        </is>
      </c>
      <c r="G9" s="37" t="inlineStr"/>
      <c r="H9" s="33" t="inlineStr">
        <is>
          <t>Cálculo errado gera prejuízo financeiro. Fórmula tem 3 parâmetros que podem ser confundidos.</t>
        </is>
      </c>
      <c r="I9" s="39" t="inlineStr">
        <is>
          <t>1. Injetar CHUNK_PROC042V2_A e CHUNK_PROC042V2_B no contexto
2. Chamar LLM com temperature=0
3. Pergunta: 'Frete especial para 1.500kg para o Nordeste, valor base R$1.000'
4. Fórmula esperada: 1000 × 1.5 (Nordeste) × 1.15 (1001-3000kg) = R$ 1.725,00
5. Assert: resposta contém '1.725' OU '1725'
6. Assert: resposta contém '1.5' (multiplicador Nordeste)
7. Assert: resposta contém '1.15' (fator de peso)
8. Verificar que os 3 componentes do cálculo estão explicitados</t>
        </is>
      </c>
      <c r="J9" s="35" t="inlineStr"/>
    </row>
  </sheetData>
  <mergeCells count="2">
    <mergeCell ref="A1:J1"/>
    <mergeCell ref="A2:J2"/>
  </mergeCells>
  <dataValidations count="2">
    <dataValidation sqref="F4 F5 F6 F7 F8 F9" showDropDown="0" showInputMessage="0" showErrorMessage="0" allowBlank="0" type="list">
      <formula1>"A fazer,Em andamento,Concluído,Bloqueado,Ignorado"</formula1>
    </dataValidation>
    <dataValidation sqref="D4 D5 D6 D7 D8 D9" showDropDown="0" showInputMessage="0" showErrorMessage="0" allowBlank="1" type="list">
      <formula1>"Alta,Média,Baixa"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32" customWidth="1" min="3" max="3"/>
    <col width="12" customWidth="1" min="4" max="4"/>
    <col width="22" customWidth="1" min="5" max="5"/>
    <col width="16" customWidth="1" min="6" max="6"/>
    <col width="20" customWidth="1" min="7" max="7"/>
    <col width="22" customWidth="1" min="8" max="8"/>
    <col width="60" customWidth="1" min="9" max="9"/>
    <col width="28" customWidth="1" min="10" max="10"/>
  </cols>
  <sheetData>
    <row r="1" ht="28" customHeight="1">
      <c r="A1" s="47" t="inlineStr">
        <is>
          <t xml:space="preserve">  4. Contexto</t>
        </is>
      </c>
    </row>
    <row r="2" ht="18" customHeight="1">
      <c r="A2" s="48" t="inlineStr">
        <is>
          <t xml:space="preserve">  Preencha Status e Responsável. Copie evidências no último campo. Não altere a coluna ID.</t>
        </is>
      </c>
    </row>
    <row r="3" ht="22" customHeight="1">
      <c r="A3" s="3" t="inlineStr">
        <is>
          <t>#</t>
        </is>
      </c>
      <c r="B3" s="3" t="inlineStr">
        <is>
          <t>ID</t>
        </is>
      </c>
      <c r="C3" s="3" t="inlineStr">
        <is>
          <t>Nome do Teste</t>
        </is>
      </c>
      <c r="D3" s="3" t="inlineStr">
        <is>
          <t>Prioridade</t>
        </is>
      </c>
      <c r="E3" s="3" t="inlineStr">
        <is>
          <t>Gatilho de Execução</t>
        </is>
      </c>
      <c r="F3" s="3" t="inlineStr">
        <is>
          <t>Status</t>
        </is>
      </c>
      <c r="G3" s="3" t="inlineStr">
        <is>
          <t>Responsável</t>
        </is>
      </c>
      <c r="H3" s="3" t="inlineStr">
        <is>
          <t>Risco</t>
        </is>
      </c>
      <c r="I3" s="3" t="inlineStr">
        <is>
          <t>Passo a Passo</t>
        </is>
      </c>
      <c r="J3" s="3" t="inlineStr">
        <is>
          <t>Evidência / Observações</t>
        </is>
      </c>
    </row>
    <row r="4" ht="126" customHeight="1">
      <c r="A4" s="27" t="n">
        <v>1</v>
      </c>
      <c r="B4" s="49" t="inlineStr">
        <is>
          <t>CTX-001</t>
        </is>
      </c>
      <c r="C4" s="29" t="inlineStr">
        <is>
          <t>Orçamento de tokens ≤ 80% do context window</t>
        </is>
      </c>
      <c r="D4" s="30" t="inlineStr">
        <is>
          <t>Alta</t>
        </is>
      </c>
      <c r="E4" s="31" t="inlineStr">
        <is>
          <t>Mudança de prompt + Novo doc</t>
        </is>
      </c>
      <c r="F4" s="32" t="inlineStr">
        <is>
          <t>A fazer</t>
        </is>
      </c>
      <c r="G4" s="29" t="inlineStr"/>
      <c r="H4" s="33" t="inlineStr">
        <is>
          <t>Acima de 80%, resposta pode ser truncada e LLM prioriza fim do contexto (lost in the middle).</t>
        </is>
      </c>
      <c r="I4" s="34" t="inlineStr">
        <is>
          <t>1. Usar a pergunta mais complexa: 'Prazo de devolução para carga perigosa com frete especial acima de 1000kg'
2. Recuperar top-5 chunks via Azure AI Search
3. Carregar system prompt atual
4. Gerar histórico simulado de 10 turnos de conversa
5. Montar contexto completo: system_prompt + histórico + chunks + pergunta
6. Tokenizar com tiktoken (cl100k_base ou modelo equivalente)
7. MAX = 128_000 * 0.80 = 102.400 tokens
8. Assert: tokens &lt; 102.400
9. Logar: 'Tokens usados: X / 102400 (X.X%)'</t>
        </is>
      </c>
      <c r="J4" s="35" t="inlineStr"/>
    </row>
    <row r="5" ht="84" customHeight="1">
      <c r="A5" s="36" t="n">
        <v>2</v>
      </c>
      <c r="B5" s="49" t="inlineStr">
        <is>
          <t>CTX-002</t>
        </is>
      </c>
      <c r="C5" s="37" t="inlineStr">
        <is>
          <t>Lost in the middle — info crítica no centro</t>
        </is>
      </c>
      <c r="D5" s="30" t="inlineStr">
        <is>
          <t>Alta</t>
        </is>
      </c>
      <c r="E5" s="38" t="inlineStr">
        <is>
          <t>Mudança de prompt</t>
        </is>
      </c>
      <c r="F5" s="32" t="inlineStr">
        <is>
          <t>A fazer</t>
        </is>
      </c>
      <c r="G5" s="37" t="inlineStr"/>
      <c r="H5" s="33" t="inlineStr">
        <is>
          <t>Fenômeno documentado: LLMs ignoram info no centro do contexto com maior frequência.</t>
        </is>
      </c>
      <c r="I5" s="39" t="inlineStr">
        <is>
          <t>1. Montar contexto com exatamente 5 chunks nesta ordem:
   [IRRELEVANTE_1, IRRELEVANTE_2, POL001_B, IRRELEVANTE_3, IRRELEVANTE_4]
2. POL001_B deve estar na posição central (índice 2 de 5)
3. Chamar LLM: 'Posso devolver carga perigosa normalmente?'
4. Assert: resposta contém 'não.*processo padrão' OU 'ramal 4500' OU 'Gestão de Riscos'
5. Se falhar: reordenar chunks (críticos no início e fim) e registrar a solução adotada</t>
        </is>
      </c>
      <c r="J5" s="35" t="inlineStr"/>
    </row>
    <row r="6" ht="98" customHeight="1">
      <c r="A6" s="27" t="n">
        <v>3</v>
      </c>
      <c r="B6" s="49" t="inlineStr">
        <is>
          <t>CTX-003</t>
        </is>
      </c>
      <c r="C6" s="29" t="inlineStr">
        <is>
          <t>Sem degradação com histórico longo (Teams)</t>
        </is>
      </c>
      <c r="D6" s="40" t="inlineStr">
        <is>
          <t>Média</t>
        </is>
      </c>
      <c r="E6" s="31" t="inlineStr">
        <is>
          <t>Mudança de prompt</t>
        </is>
      </c>
      <c r="F6" s="32" t="inlineStr">
        <is>
          <t>A fazer</t>
        </is>
      </c>
      <c r="G6" s="29" t="inlineStr"/>
      <c r="H6" s="33" t="inlineStr">
        <is>
          <t>Conversas Teams podem durar 30+ min. Histórico longo comprime espaço para chunks.</t>
        </is>
      </c>
      <c r="I6" s="34" t="inlineStr">
        <is>
          <t>1. Pergunta teste: 'Qual o prazo de devolução?'
2. Executar SEM histórico: contexto = [CHUNK_POL001_A] + pergunta
3. Assert: resposta_sem_hist contém '7 dias úteis'
4. Gerar histórico fictício de 20 turnos (perguntas e respostas genéricas sobre logística)
5. Executar COM histórico: contexto = histórico_20_turnos + [CHUNK_POL001_A] + pergunta
6. Assert: resposta_com_hist contém '7 dias úteis'
7. Se falhar: implementar summarização de histórico e re-testar</t>
        </is>
      </c>
      <c r="J6" s="35" t="inlineStr"/>
    </row>
  </sheetData>
  <mergeCells count="2">
    <mergeCell ref="A1:J1"/>
    <mergeCell ref="A2:J2"/>
  </mergeCells>
  <dataValidations count="2">
    <dataValidation sqref="F4 F5 F6" showDropDown="0" showInputMessage="0" showErrorMessage="0" allowBlank="0" type="list">
      <formula1>"A fazer,Em andamento,Concluído,Bloqueado,Ignorado"</formula1>
    </dataValidation>
    <dataValidation sqref="D4 D5 D6" showDropDown="0" showInputMessage="0" showErrorMessage="0" allowBlank="1" type="list">
      <formula1>"Alta,Média,Baixa"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32" customWidth="1" min="3" max="3"/>
    <col width="12" customWidth="1" min="4" max="4"/>
    <col width="22" customWidth="1" min="5" max="5"/>
    <col width="16" customWidth="1" min="6" max="6"/>
    <col width="20" customWidth="1" min="7" max="7"/>
    <col width="22" customWidth="1" min="8" max="8"/>
    <col width="60" customWidth="1" min="9" max="9"/>
    <col width="28" customWidth="1" min="10" max="10"/>
  </cols>
  <sheetData>
    <row r="1" ht="28" customHeight="1">
      <c r="A1" s="50" t="inlineStr">
        <is>
          <t xml:space="preserve">  5. E2E</t>
        </is>
      </c>
    </row>
    <row r="2" ht="18" customHeight="1">
      <c r="A2" s="51" t="inlineStr">
        <is>
          <t xml:space="preserve">  Preencha Status e Responsável. Copie evidências no último campo. Não altere a coluna ID.</t>
        </is>
      </c>
    </row>
    <row r="3" ht="22" customHeight="1">
      <c r="A3" s="3" t="inlineStr">
        <is>
          <t>#</t>
        </is>
      </c>
      <c r="B3" s="3" t="inlineStr">
        <is>
          <t>ID</t>
        </is>
      </c>
      <c r="C3" s="3" t="inlineStr">
        <is>
          <t>Nome do Teste</t>
        </is>
      </c>
      <c r="D3" s="3" t="inlineStr">
        <is>
          <t>Prioridade</t>
        </is>
      </c>
      <c r="E3" s="3" t="inlineStr">
        <is>
          <t>Gatilho de Execução</t>
        </is>
      </c>
      <c r="F3" s="3" t="inlineStr">
        <is>
          <t>Status</t>
        </is>
      </c>
      <c r="G3" s="3" t="inlineStr">
        <is>
          <t>Responsável</t>
        </is>
      </c>
      <c r="H3" s="3" t="inlineStr">
        <is>
          <t>Risco</t>
        </is>
      </c>
      <c r="I3" s="3" t="inlineStr">
        <is>
          <t>Passo a Passo</t>
        </is>
      </c>
      <c r="J3" s="3" t="inlineStr">
        <is>
          <t>Evidência / Observações</t>
        </is>
      </c>
    </row>
    <row r="4" ht="98" customHeight="1">
      <c r="A4" s="27" t="n">
        <v>1</v>
      </c>
      <c r="B4" s="52" t="inlineStr">
        <is>
          <t>E2E-001</t>
        </is>
      </c>
      <c r="C4" s="29" t="inlineStr">
        <is>
          <t>Devolução — resposta direta</t>
        </is>
      </c>
      <c r="D4" s="30" t="inlineStr">
        <is>
          <t>Alta</t>
        </is>
      </c>
      <c r="E4" s="31" t="inlineStr">
        <is>
          <t>Novo doc + Semanal</t>
        </is>
      </c>
      <c r="F4" s="32" t="inlineStr">
        <is>
          <t>A fazer</t>
        </is>
      </c>
      <c r="G4" s="29" t="inlineStr"/>
      <c r="H4" s="33" t="inlineStr">
        <is>
          <t>Caso mais frequente. Regressão aqui é percebida imediatamente pelos atendentes.</t>
        </is>
      </c>
      <c r="I4" s="34" t="inlineStr">
        <is>
          <t>1. Executar pipeline completo: pergunta → retrieval → geração
2. Pergunta: 'Qual o prazo para pedir devolução?'
3. Assert: resposta contém '7 dias úteis'
4. Assert: resposta contém 'dias úteis após'
5. Assert: resposta referencia 'POL-001'
6. Avaliar com LLM judge (factualidade + completude + citação) — score mínimo 2/3 cada
7. Registrar resposta completa como evidência</t>
        </is>
      </c>
      <c r="J4" s="35" t="inlineStr"/>
    </row>
    <row r="5" ht="112" customHeight="1">
      <c r="A5" s="36" t="n">
        <v>2</v>
      </c>
      <c r="B5" s="52" t="inlineStr">
        <is>
          <t>E2E-002</t>
        </is>
      </c>
      <c r="C5" s="37" t="inlineStr">
        <is>
          <t>Incidente crítico Gold (multi-regra)</t>
        </is>
      </c>
      <c r="D5" s="30" t="inlineStr">
        <is>
          <t>Alta</t>
        </is>
      </c>
      <c r="E5" s="38" t="inlineStr">
        <is>
          <t>Novo doc + Semanal</t>
        </is>
      </c>
      <c r="F5" s="32" t="inlineStr">
        <is>
          <t>A fazer</t>
        </is>
      </c>
      <c r="G5" s="37" t="inlineStr"/>
      <c r="H5" s="33" t="inlineStr">
        <is>
          <t>Requer cruzar 2 regras. Falha = violação contratual com cliente Gold.</t>
        </is>
      </c>
      <c r="I5" s="39" t="inlineStr">
        <is>
          <t>1. Executar pipeline completo
2. Pergunta: 'Um cliente Gold está com carga de R$150.000 sem localização há 7 horas. Como devo tratar?'
3. Assert: resposta reconhece 'incidente crítico' (carga &gt;R$100k + &gt;6h sem status)
4. Assert: resposta contém '30 min' (SLA de resposta Gold p/ incidente crítico)
5. Assert: resposta contém '4h' (SLA de resolução)
6. Assert negativo: resposta NÃO contém '2h' ou '24h' (SLAs de chamado normal)
7. Assert: referencia 'SLA-2024'
8. Avaliar com LLM judge — score mínimo 2/3 em todos os critérios</t>
        </is>
      </c>
      <c r="J5" s="35" t="inlineStr"/>
    </row>
    <row r="6" ht="112" customHeight="1">
      <c r="A6" s="27" t="n">
        <v>3</v>
      </c>
      <c r="B6" s="52" t="inlineStr">
        <is>
          <t>E2E-003</t>
        </is>
      </c>
      <c r="C6" s="29" t="inlineStr">
        <is>
          <t>Desconto por volume PROC-042 v2</t>
        </is>
      </c>
      <c r="D6" s="40" t="inlineStr">
        <is>
          <t>Média</t>
        </is>
      </c>
      <c r="E6" s="31" t="inlineStr">
        <is>
          <t>Novo doc + Semanal</t>
        </is>
      </c>
      <c r="F6" s="32" t="inlineStr">
        <is>
          <t>A fazer</t>
        </is>
      </c>
      <c r="G6" s="29" t="inlineStr"/>
      <c r="H6" s="33" t="inlineStr">
        <is>
          <t>Desconto ausente = prejuízo comercial. Desconto indevido = prejuízo financeiro.</t>
        </is>
      </c>
      <c r="I6" s="34" t="inlineStr">
        <is>
          <t>1. Executar pipeline completo
2. Pergunta: 'Nosso cliente tem 10 fretes especiais por mês para o Centro-Oeste. Tem desconto?'
3. Regra: 10 fretes ≥ 8 → desconto de 5% sobre multiplicador regional (PROC-042 v2)
4. Assert: resposta contém '5%'
5. Assert: resposta contém 'desconto'
6. Assert: resposta contém 'multiplicador'
7. Assert: referencia 'PROC-042'
8. Registrar resposta e classificação do LLM judge</t>
        </is>
      </c>
      <c r="J6" s="35" t="inlineStr"/>
    </row>
    <row r="7" ht="84" customHeight="1">
      <c r="A7" s="36" t="n">
        <v>4</v>
      </c>
      <c r="B7" s="52" t="inlineStr">
        <is>
          <t>E2E-004</t>
        </is>
      </c>
      <c r="C7" s="37" t="inlineStr">
        <is>
          <t>Gap documentação — frete padrão</t>
        </is>
      </c>
      <c r="D7" s="30" t="inlineStr">
        <is>
          <t>Alta</t>
        </is>
      </c>
      <c r="E7" s="38" t="inlineStr">
        <is>
          <t>Sempre (PR)</t>
        </is>
      </c>
      <c r="F7" s="32" t="inlineStr">
        <is>
          <t>A fazer</t>
        </is>
      </c>
      <c r="G7" s="37" t="inlineStr"/>
      <c r="H7" s="33" t="inlineStr">
        <is>
          <t>Gap silencioso. Extrapolação da fórmula de frete especial para casos fora do escopo.</t>
        </is>
      </c>
      <c r="I7" s="39" t="inlineStr">
        <is>
          <t>1. Executar pipeline completo
2. Pergunta: 'Qual o frete para 200kg para Recife?'
3. Assert: resposta contém 'não encontrei' OU 'documentação' OU 'consulte'
4. Assert negativo: resposta NÃO contém padrão 'R$\s*\d+'
5. Assert negativo: resposta NÃO contém 'multiplicador'
6. Verificar que o assistente não extrapolou a fórmula de frete especial</t>
        </is>
      </c>
      <c r="J7" s="35" t="inlineStr"/>
    </row>
    <row r="8" ht="98" customHeight="1">
      <c r="A8" s="27" t="n">
        <v>5</v>
      </c>
      <c r="B8" s="52" t="inlineStr">
        <is>
          <t>E2E-005</t>
        </is>
      </c>
      <c r="C8" s="29" t="inlineStr">
        <is>
          <t>Conflito de versão — multiplicador Sudeste</t>
        </is>
      </c>
      <c r="D8" s="30" t="inlineStr">
        <is>
          <t>Alta</t>
        </is>
      </c>
      <c r="E8" s="31" t="inlineStr">
        <is>
          <t>Sempre (PR)</t>
        </is>
      </c>
      <c r="F8" s="32" t="inlineStr">
        <is>
          <t>A fazer</t>
        </is>
      </c>
      <c r="G8" s="29" t="inlineStr"/>
      <c r="H8" s="33" t="inlineStr">
        <is>
          <t>Única situação onde conflito real na doc é o comportamento esperado. LLM não pode escolher silenciosamente.</t>
        </is>
      </c>
      <c r="I8" s="34" t="inlineStr">
        <is>
          <t>1. Executar pipeline completo
2. Pergunta: 'Qual o multiplicador para o Sudeste no frete especial?'
3. Contexto: v1 diz 1.0, v2 diz 1.1 — contradição real na documentação
4. Assert: resposta contém '1.1' (v2)
5. Assert: resposta contém 'novembro/2023' OU 'versão' (indica qual usar)
6. Assert: referencia 'PROC-042'
7. Verificar que a resposta NÃO escolhe silenciosamente um valor sem explicar o conflito</t>
        </is>
      </c>
      <c r="J8" s="35" t="inlineStr"/>
    </row>
  </sheetData>
  <mergeCells count="2">
    <mergeCell ref="A1:J1"/>
    <mergeCell ref="A2:J2"/>
  </mergeCells>
  <dataValidations count="2">
    <dataValidation sqref="F4 F5 F6 F7 F8" showDropDown="0" showInputMessage="0" showErrorMessage="0" allowBlank="0" type="list">
      <formula1>"A fazer,Em andamento,Concluído,Bloqueado,Ignorado"</formula1>
    </dataValidation>
    <dataValidation sqref="D4 D5 D6 D7 D8" showDropDown="0" showInputMessage="0" showErrorMessage="0" allowBlank="1" type="list">
      <formula1>"Alta,Média,Baixa"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32" customWidth="1" min="3" max="3"/>
    <col width="12" customWidth="1" min="4" max="4"/>
    <col width="22" customWidth="1" min="5" max="5"/>
    <col width="16" customWidth="1" min="6" max="6"/>
    <col width="20" customWidth="1" min="7" max="7"/>
    <col width="22" customWidth="1" min="8" max="8"/>
    <col width="60" customWidth="1" min="9" max="9"/>
    <col width="28" customWidth="1" min="10" max="10"/>
  </cols>
  <sheetData>
    <row r="1" ht="28" customHeight="1">
      <c r="A1" s="53" t="inlineStr">
        <is>
          <t xml:space="preserve">  6. Regressão</t>
        </is>
      </c>
    </row>
    <row r="2" ht="18" customHeight="1">
      <c r="A2" s="54" t="inlineStr">
        <is>
          <t xml:space="preserve">  Preencha Status e Responsável. Copie evidências no último campo. Não altere a coluna ID.</t>
        </is>
      </c>
    </row>
    <row r="3" ht="22" customHeight="1">
      <c r="A3" s="3" t="inlineStr">
        <is>
          <t>#</t>
        </is>
      </c>
      <c r="B3" s="3" t="inlineStr">
        <is>
          <t>ID</t>
        </is>
      </c>
      <c r="C3" s="3" t="inlineStr">
        <is>
          <t>Nome do Teste</t>
        </is>
      </c>
      <c r="D3" s="3" t="inlineStr">
        <is>
          <t>Prioridade</t>
        </is>
      </c>
      <c r="E3" s="3" t="inlineStr">
        <is>
          <t>Gatilho de Execução</t>
        </is>
      </c>
      <c r="F3" s="3" t="inlineStr">
        <is>
          <t>Status</t>
        </is>
      </c>
      <c r="G3" s="3" t="inlineStr">
        <is>
          <t>Responsável</t>
        </is>
      </c>
      <c r="H3" s="3" t="inlineStr">
        <is>
          <t>Risco</t>
        </is>
      </c>
      <c r="I3" s="3" t="inlineStr">
        <is>
          <t>Passo a Passo</t>
        </is>
      </c>
      <c r="J3" s="3" t="inlineStr">
        <is>
          <t>Evidência / Observações</t>
        </is>
      </c>
    </row>
    <row r="4" ht="84" customHeight="1">
      <c r="A4" s="27" t="n">
        <v>1</v>
      </c>
      <c r="B4" s="55" t="inlineStr">
        <is>
          <t>REG-001</t>
        </is>
      </c>
      <c r="C4" s="29" t="inlineStr">
        <is>
          <t>Atualização de doc não piora Recall@5</t>
        </is>
      </c>
      <c r="D4" s="30" t="inlineStr">
        <is>
          <t>Alta</t>
        </is>
      </c>
      <c r="E4" s="31" t="inlineStr">
        <is>
          <t>Novo documento + PR</t>
        </is>
      </c>
      <c r="F4" s="32" t="inlineStr">
        <is>
          <t>A fazer</t>
        </is>
      </c>
      <c r="G4" s="29" t="inlineStr"/>
      <c r="H4" s="33" t="inlineStr">
        <is>
          <t>Novo documento pode conflitar com chunks existentes e derrubar recall de perguntas anteriores.</t>
        </is>
      </c>
      <c r="I4" s="34" t="inlineStr">
        <is>
          <t>1. Carregar baseline salvo anteriormente (arquivo baseline-[timestamp].json)
2. Calcular Recall@5 atual executando todo o golden dataset
3. baseline_recall = baseline['recall5']
4. Assert: recall_atual &gt; baseline_recall * 0.95 (tolerância de 5%)
5. Se recall_atual &lt; baseline_recall: logar 'REGRESSÃO: {baseline:.2f} → {atual:.2f}'
6. Registrar recall atual para atualização de baseline</t>
        </is>
      </c>
      <c r="J4" s="35" t="inlineStr"/>
    </row>
    <row r="5" ht="80" customHeight="1">
      <c r="A5" s="36" t="n">
        <v>2</v>
      </c>
      <c r="B5" s="55" t="inlineStr">
        <is>
          <t>REG-002</t>
        </is>
      </c>
      <c r="C5" s="37" t="inlineStr">
        <is>
          <t>Mudança de prompt não inverte casos críticos</t>
        </is>
      </c>
      <c r="D5" s="30" t="inlineStr">
        <is>
          <t>Alta</t>
        </is>
      </c>
      <c r="E5" s="38" t="inlineStr">
        <is>
          <t>Mudança de prompt</t>
        </is>
      </c>
      <c r="F5" s="32" t="inlineStr">
        <is>
          <t>A fazer</t>
        </is>
      </c>
      <c r="G5" s="37" t="inlineStr"/>
      <c r="H5" s="33" t="inlineStr">
        <is>
          <t>Ajuste de tom/formatação pode inadvertidamente alterar comportamento em casos críticos.</t>
        </is>
      </c>
      <c r="I5" s="39" t="inlineStr">
        <is>
          <t>1. Filtrar casos de segurança: E2E-004 (gap_documentacao) + todos com 'perigosa'
2. Executar pipeline completo para cada caso
3. Para cada caso, verificar que nenhum item de naoDeveConter aparece na resposta
4. Casos críticos de segurança DEVEM sempre passar, independente de mudanças de prompt
5. São os 'testes invioláveis' — falha aqui bloqueia merge</t>
        </is>
      </c>
      <c r="J5" s="35" t="inlineStr"/>
    </row>
    <row r="6" ht="80" customHeight="1">
      <c r="A6" s="27" t="n">
        <v>3</v>
      </c>
      <c r="B6" s="55" t="inlineStr">
        <is>
          <t>REG-003</t>
        </is>
      </c>
      <c r="C6" s="29" t="inlineStr">
        <is>
          <t>Captura de baseline após mudança de modelo</t>
        </is>
      </c>
      <c r="D6" s="30" t="inlineStr">
        <is>
          <t>Alta</t>
        </is>
      </c>
      <c r="E6" s="31" t="inlineStr">
        <is>
          <t>Atualização de modelo</t>
        </is>
      </c>
      <c r="F6" s="32" t="inlineStr">
        <is>
          <t>A fazer</t>
        </is>
      </c>
      <c r="G6" s="29" t="inlineStr"/>
      <c r="H6" s="33" t="inlineStr">
        <is>
          <t>Sem baseline atualizado, comparações futuras ficam contra versão antiga.</t>
        </is>
      </c>
      <c r="I6" s="34" t="inlineStr">
        <is>
          <t>1. Executar script: npm run capture-baseline (ou equivalente)
2. Para cada caso do golden dataset: executar pipeline e salvar resposta
3. Salvar arquivo: baseline-{timestamp}.json com campos: id, pergunta, resposta, timestamp, model_version, promptHash
4. Commitar baseline no repositório (ou armazenar em blob storage)
5. Registrar model_version e promptHash no campo Evidência</t>
        </is>
      </c>
      <c r="J6" s="35" t="inlineStr"/>
    </row>
    <row r="7" ht="84" customHeight="1">
      <c r="A7" s="36" t="n">
        <v>4</v>
      </c>
      <c r="B7" s="55" t="inlineStr">
        <is>
          <t>REG-004</t>
        </is>
      </c>
      <c r="C7" s="37" t="inlineStr">
        <is>
          <t>CI schedule semanal — detectar model drift</t>
        </is>
      </c>
      <c r="D7" s="40" t="inlineStr">
        <is>
          <t>Média</t>
        </is>
      </c>
      <c r="E7" s="38" t="inlineStr">
        <is>
          <t>Semanal (automático)</t>
        </is>
      </c>
      <c r="F7" s="32" t="inlineStr">
        <is>
          <t>A fazer</t>
        </is>
      </c>
      <c r="G7" s="37" t="inlineStr"/>
      <c r="H7" s="33" t="inlineStr">
        <is>
          <t>Provedores atualizam modelos silenciosamente. Drift pode degradar retrieval/geração gradualmente.</t>
        </is>
      </c>
      <c r="I7" s="39" t="inlineStr">
        <is>
          <t>1. Verificar que cron 'every monday 06h' está ativo no CI
2. O job deve executar: RET-* (retrieval completo) + GEN casos críticos (GEN-001 a GEN-004)
3. Comparar com último baseline
4. Se falhar: gerar relatório automático (node scripts/generate-regression-report.js)
5. Notificar time via canal Teams/Slack configurado
6. Registrar data/hora e versão do modelo detectado</t>
        </is>
      </c>
      <c r="J7" s="35" t="inlineStr"/>
    </row>
    <row r="8" ht="84" customHeight="1">
      <c r="A8" s="27" t="n">
        <v>5</v>
      </c>
      <c r="B8" s="55" t="inlineStr">
        <is>
          <t>REG-005</t>
        </is>
      </c>
      <c r="C8" s="29" t="inlineStr">
        <is>
          <t>Pipeline CI com gatilhos corretos configurados</t>
        </is>
      </c>
      <c r="D8" s="40" t="inlineStr">
        <is>
          <t>Média</t>
        </is>
      </c>
      <c r="E8" s="31" t="inlineStr">
        <is>
          <t>Setup inicial</t>
        </is>
      </c>
      <c r="F8" s="32" t="inlineStr">
        <is>
          <t>A fazer</t>
        </is>
      </c>
      <c r="G8" s="29" t="inlineStr"/>
      <c r="H8" s="33" t="inlineStr">
        <is>
          <t>CI mal configurado = testes existem mas não rodam = regressão não detectada.</t>
        </is>
      </c>
      <c r="I8" s="34" t="inlineStr">
        <is>
          <t>1. Abrir .github/workflows/rag-regression.yml
2. Verificar gatilho on.push.paths inclui: 'prompts/**', 'ingestion/**', 'documents/**'
3. Verificar cron: '0 6 * * 1' (toda segunda às 06h)
4. Verificar jobs: checkout → npm ci → npm test (retrieval + regressão) → compare-baseline
5. Verificar step condicional de relatório em caso de falha (if: failure())
6. Fazer push de teste em um dos paths monitorados e verificar que o workflow dispara</t>
        </is>
      </c>
      <c r="J8" s="35" t="inlineStr"/>
    </row>
  </sheetData>
  <mergeCells count="2">
    <mergeCell ref="A1:J1"/>
    <mergeCell ref="A2:J2"/>
  </mergeCells>
  <dataValidations count="2">
    <dataValidation sqref="F4 F5 F6 F7 F8" showDropDown="0" showInputMessage="0" showErrorMessage="0" allowBlank="0" type="list">
      <formula1>"A fazer,Em andamento,Concluído,Bloqueado,Ignorado"</formula1>
    </dataValidation>
    <dataValidation sqref="D4 D5 D6 D7 D8" showDropDown="0" showInputMessage="0" showErrorMessage="0" allowBlank="1" type="list">
      <formula1>"Alta,Média,Baixa"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C16"/>
  <sheetViews>
    <sheetView showGridLines="0" workbookViewId="0">
      <selection activeCell="A1" sqref="A1"/>
    </sheetView>
  </sheetViews>
  <sheetFormatPr baseColWidth="8" defaultRowHeight="15"/>
  <cols>
    <col width="3" customWidth="1" min="1" max="1"/>
    <col width="28" customWidth="1" min="2" max="2"/>
    <col width="70" customWidth="1" min="3" max="3"/>
  </cols>
  <sheetData>
    <row r="1" ht="28" customHeight="1">
      <c r="B1" s="56" t="inlineStr">
        <is>
          <t>Glossário — Conceitos RAG &amp; Testes de IA</t>
        </is>
      </c>
    </row>
    <row r="2" ht="42" customHeight="1">
      <c r="B2" s="57" t="inlineStr">
        <is>
          <t>Termo</t>
        </is>
      </c>
      <c r="C2" s="57" t="inlineStr">
        <is>
          <t>Definição</t>
        </is>
      </c>
    </row>
    <row r="3" ht="42" customHeight="1">
      <c r="B3" s="58" t="inlineStr">
        <is>
          <t>RAG (Retrieval-Augmented Generation)</t>
        </is>
      </c>
      <c r="C3" s="59" t="inlineStr">
        <is>
          <t>Arquitetura onde o LLM recebe contexto recuperado de uma base de documentos antes de gerar a resposta. O pipeline tem 3 camadas independentes: ingestão, retrieval e geração.</t>
        </is>
      </c>
    </row>
    <row r="4" ht="42" customHeight="1">
      <c r="B4" s="60" t="inlineStr">
        <is>
          <t>Recall@k</t>
        </is>
      </c>
      <c r="C4" s="61" t="inlineStr">
        <is>
          <t>% dos chunks relevantes que aparecem entre os k primeiros resultados do retrieval. Ex: Recall@5=80% significa que 80% dos chunks esperados aparecem no top-5.</t>
        </is>
      </c>
    </row>
    <row r="5" ht="42" customHeight="1">
      <c r="B5" s="58" t="inlineStr">
        <is>
          <t>Golden Dataset</t>
        </is>
      </c>
      <c r="C5" s="59" t="inlineStr">
        <is>
          <t>Conjunto de pares (pergunta → chunks esperados) criado manualmente, usado como referência para medir qualidade do retrieval.</t>
        </is>
      </c>
    </row>
    <row r="6" ht="42" customHeight="1">
      <c r="B6" s="60" t="inlineStr">
        <is>
          <t>LLM Judge</t>
        </is>
      </c>
      <c r="C6" s="61" t="inlineStr">
        <is>
          <t>Segundo modelo de linguagem usado para avaliar as respostas do primeiro. Usa critérios estruturados (0-3) para medir factualidade, completude, segurança e citação.</t>
        </is>
      </c>
    </row>
    <row r="7" ht="42" customHeight="1">
      <c r="B7" s="58" t="inlineStr">
        <is>
          <t>Lost in the Middle</t>
        </is>
      </c>
      <c r="C7" s="59" t="inlineStr">
        <is>
          <t>Fenômeno documentado: LLMs tendem a usar melhor informações no início e fim do contexto, esquecendo o que está no meio.</t>
        </is>
      </c>
    </row>
    <row r="8" ht="42" customHeight="1">
      <c r="B8" s="60" t="inlineStr">
        <is>
          <t>Context Rot</t>
        </is>
      </c>
      <c r="C8" s="61" t="inlineStr">
        <is>
          <t>Degradação progressiva da qualidade das respostas conforme o histórico de conversa cresce e ocupa mais espaço do context window.</t>
        </is>
      </c>
    </row>
    <row r="9" ht="42" customHeight="1">
      <c r="B9" s="58" t="inlineStr">
        <is>
          <t>Orçamento de Tokens</t>
        </is>
      </c>
      <c r="C9" s="59" t="inlineStr">
        <is>
          <t>Gestão do espaço disponível no context window. Regra prática: deixar 20% livre para a resposta (não usar mais de 80% do limite).</t>
        </is>
      </c>
    </row>
    <row r="10" ht="42" customHeight="1">
      <c r="B10" s="60" t="inlineStr">
        <is>
          <t>Model Drift</t>
        </is>
      </c>
      <c r="C10" s="61" t="inlineStr">
        <is>
          <t>Mudança silenciosa no comportamento do modelo ao longo do tempo, mesmo sem alterações no código. Provedores como Azure OpenAI atualizam modelos sem aviso.</t>
        </is>
      </c>
    </row>
    <row r="11" ht="42" customHeight="1">
      <c r="B11" s="58" t="inlineStr">
        <is>
          <t>Baseline</t>
        </is>
      </c>
      <c r="C11" s="59" t="inlineStr">
        <is>
          <t>Snapshot do desempenho do sistema em um momento específico. Usado para detectar regressão após mudanças.</t>
        </is>
      </c>
    </row>
    <row r="12" ht="42" customHeight="1">
      <c r="B12" s="60" t="inlineStr">
        <is>
          <t>Flaky Test</t>
        </is>
      </c>
      <c r="C12" s="61" t="inlineStr">
        <is>
          <t>Teste que ora passa ora falha sem mudança de código — comum em testes de LLM por não-determinismo. Mitigar com temperature=0.</t>
        </is>
      </c>
    </row>
    <row r="13" ht="42" customHeight="1">
      <c r="B13" s="58" t="inlineStr">
        <is>
          <t>Context Window</t>
        </is>
      </c>
      <c r="C13" s="59" t="inlineStr">
        <is>
          <t>Limite máximo de tokens que o modelo consegue processar de uma vez. Ex: GPT-4o tem 128k tokens ≈ ~96k palavras.</t>
        </is>
      </c>
    </row>
    <row r="14" ht="42" customHeight="1">
      <c r="B14" s="60" t="inlineStr">
        <is>
          <t>Chunking</t>
        </is>
      </c>
      <c r="C14" s="61" t="inlineStr">
        <is>
          <t>Processo de dividir documentos em pedaços menores para indexação. Chunks mal divididos podem quebrar regras no meio e degradar respostas.</t>
        </is>
      </c>
    </row>
    <row r="15" ht="42" customHeight="1">
      <c r="B15" s="58" t="inlineStr">
        <is>
          <t>Embedding</t>
        </is>
      </c>
      <c r="C15" s="59" t="inlineStr">
        <is>
          <t>Representação numérica (vetor) de um texto, usada pelo Azure AI Search para encontrar chunks semanticamente similares à pergunta.</t>
        </is>
      </c>
    </row>
    <row r="16" ht="42" customHeight="1">
      <c r="B16" s="60" t="inlineStr">
        <is>
          <t>Temperature</t>
        </is>
      </c>
      <c r="C16" s="61" t="inlineStr">
        <is>
          <t>Parâmetro do LLM que controla aleatoriedade (0 = determinístico, 1 = criativo). Use temperature=0 em testes para reduzir flakiness.</t>
        </is>
      </c>
    </row>
  </sheetData>
  <mergeCells count="1">
    <mergeCell ref="B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2026-06-03T19:34:56Z</dcterms:created>
  <dcterms:modified xmlns:dcterms="http://purl.org/dc/terms/" xmlns:xsi="http://www.w3.org/2001/XMLSchema-instance" xsi:type="dcterms:W3CDTF">2026-06-03T19:34:56Z</dcterms:modified>
</cp:coreProperties>
</file>